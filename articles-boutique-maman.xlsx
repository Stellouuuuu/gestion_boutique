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Articles" sheetId="2" state="visible" r:id="rId4"/>
  </sheets>
  <definedNames>
    <definedName function="false" hidden="true" localSheetId="1" name="_xlnm._FilterDatabase" vbProcedure="false">Articles!$A$1:$G$357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<sst xmlns="http://schemas.openxmlformats.org/spreadsheetml/2006/main" count="666" uniqueCount="347">
  <si>
    <t xml:space="preserve">Boutique de Maman : liste de départ</t>
  </si>
  <si>
    <t xml:space="preserve">Ce fichier sert à créer le compte de Maman avec tous ses articles, prix et stock déjà en place.</t>
  </si>
  <si>
    <t xml:space="preserve">Remplir uniquement les cases jaunes de l'onglet « Articles ».</t>
  </si>
  <si>
    <t xml:space="preserve">Colonne</t>
  </si>
  <si>
    <t xml:space="preserve">Quoi écrire</t>
  </si>
  <si>
    <t xml:space="preserve">Prix d'achat (F)</t>
  </si>
  <si>
    <t xml:space="preserve">Ce que Maman paie pour UNE pièce chez son fournisseur. Sert à calculer le bénéfice. Laisser vide si on ne sait pas, on pourra le mettre plus tard.</t>
  </si>
  <si>
    <t xml:space="preserve">Prix détail (F)</t>
  </si>
  <si>
    <t xml:space="preserve">Prix d'une pièce vendue au détail. Nombre entier, sans « F » ni espace. Les cases rouges n'ont pas encore de prix.</t>
  </si>
  <si>
    <t xml:space="preserve">Prix gros (F)</t>
  </si>
  <si>
    <t xml:space="preserve">Prix d'UNE pièce quand elle vend en gros. Laisser vide si elle ne vend pas cet article en gros.</t>
  </si>
  <si>
    <t xml:space="preserve">Stock de départ</t>
  </si>
  <si>
    <t xml:space="preserve">Nombre de pièces comptées en boutique le jour du démarrage. Vide = 0.</t>
  </si>
  <si>
    <t xml:space="preserve">Nouvel article</t>
  </si>
  <si>
    <t xml:space="preserve">Utiliser les lignes vides en bas de l'onglet : choisir la catégorie, écrire le nom, puis les prix.</t>
  </si>
  <si>
    <t xml:space="preserve">Supprimer</t>
  </si>
  <si>
    <t xml:space="preserve">Effacer toute la ligne (nom compris). Une ligne sans nom est ignorée.</t>
  </si>
  <si>
    <t xml:space="preserve">Exemple</t>
  </si>
  <si>
    <t xml:space="preserve">Mèches | Bella | 1800 | 2500 | 2150 | 6</t>
  </si>
  <si>
    <t xml:space="preserve">Articles dans la liste</t>
  </si>
  <si>
    <t xml:space="preserve">Prix détail encore manquants</t>
  </si>
  <si>
    <t xml:space="preserve">Prix d'achat encore manquants</t>
  </si>
  <si>
    <t xml:space="preserve">Pièces en stock au total</t>
  </si>
  <si>
    <t xml:space="preserve">Valeur du stock au prix détail (F)</t>
  </si>
  <si>
    <t xml:space="preserve">Valeur du stock au prix d'achat (F)</t>
  </si>
  <si>
    <t xml:space="preserve">Attention aux noms à vérifier</t>
  </si>
  <si>
    <t xml:space="preserve">Certains noms contiennent un prix ou un lot (ex. « Dallas grand 3/4400 »). Corrigez le nom si besoin et mettez le vrai prix dans les colonnes.</t>
  </si>
  <si>
    <t xml:space="preserve">Catégorie</t>
  </si>
  <si>
    <t xml:space="preserve">Désignation</t>
  </si>
  <si>
    <t xml:space="preserve">Remarque</t>
  </si>
  <si>
    <t xml:space="preserve">Mèches</t>
  </si>
  <si>
    <t xml:space="preserve">4 flowers</t>
  </si>
  <si>
    <t xml:space="preserve">4pcs</t>
  </si>
  <si>
    <t xml:space="preserve">8 amies amaka</t>
  </si>
  <si>
    <t xml:space="preserve">Active</t>
  </si>
  <si>
    <t xml:space="preserve">Adorable</t>
  </si>
  <si>
    <t xml:space="preserve">Afro pondo grd</t>
  </si>
  <si>
    <t xml:space="preserve">Amanda</t>
  </si>
  <si>
    <t xml:space="preserve">ANI Spring</t>
  </si>
  <si>
    <t xml:space="preserve">Ari-C</t>
  </si>
  <si>
    <t xml:space="preserve">Bamba plus grand</t>
  </si>
  <si>
    <t xml:space="preserve">Bella</t>
  </si>
  <si>
    <t xml:space="preserve">Boho water culy</t>
  </si>
  <si>
    <t xml:space="preserve">Bomba plus</t>
  </si>
  <si>
    <t xml:space="preserve">Bon-street</t>
  </si>
  <si>
    <t xml:space="preserve">Bounce</t>
  </si>
  <si>
    <t xml:space="preserve">Bouncy kinky</t>
  </si>
  <si>
    <t xml:space="preserve">Brillant</t>
  </si>
  <si>
    <t xml:space="preserve">Burtherfly twist grd</t>
  </si>
  <si>
    <t xml:space="preserve">Butterfly twist pt</t>
  </si>
  <si>
    <t xml:space="preserve">Celina locs</t>
  </si>
  <si>
    <t xml:space="preserve">Ceres</t>
  </si>
  <si>
    <t xml:space="preserve">Chery</t>
  </si>
  <si>
    <t xml:space="preserve">Clara tissage</t>
  </si>
  <si>
    <t xml:space="preserve">Closure</t>
  </si>
  <si>
    <t xml:space="preserve">Corde noir</t>
  </si>
  <si>
    <t xml:space="preserve">Corde noir1500 Baby</t>
  </si>
  <si>
    <t xml:space="preserve">Cozi original</t>
  </si>
  <si>
    <t xml:space="preserve">Cozy vert pt</t>
  </si>
  <si>
    <t xml:space="preserve">Cro chili locs</t>
  </si>
  <si>
    <t xml:space="preserve">Cro elim</t>
  </si>
  <si>
    <t xml:space="preserve">Cro Full pock</t>
  </si>
  <si>
    <t xml:space="preserve">Cro gini</t>
  </si>
  <si>
    <t xml:space="preserve">Cro lulu</t>
  </si>
  <si>
    <t xml:space="preserve">Cro sultant</t>
  </si>
  <si>
    <t xml:space="preserve">Cro unique</t>
  </si>
  <si>
    <t xml:space="preserve">Cro vill dread</t>
  </si>
  <si>
    <t xml:space="preserve">Cro-baby</t>
  </si>
  <si>
    <t xml:space="preserve">Cro-meg</t>
  </si>
  <si>
    <t xml:space="preserve">Crochet Aviv churk</t>
  </si>
  <si>
    <t xml:space="preserve">Crochet culy twit braid</t>
  </si>
  <si>
    <t xml:space="preserve">Crochet Liz twist</t>
  </si>
  <si>
    <t xml:space="preserve">Crochet max locs</t>
  </si>
  <si>
    <t xml:space="preserve">Crochet pristine</t>
  </si>
  <si>
    <t xml:space="preserve">Crochet shasha</t>
  </si>
  <si>
    <t xml:space="preserve">Croflout locs plus</t>
  </si>
  <si>
    <t xml:space="preserve">Cully boby</t>
  </si>
  <si>
    <t xml:space="preserve">Curly braid</t>
  </si>
  <si>
    <t xml:space="preserve">Dada locs</t>
  </si>
  <si>
    <t xml:space="preserve">Daniela sublime</t>
  </si>
  <si>
    <t xml:space="preserve">Daniella</t>
  </si>
  <si>
    <t xml:space="preserve">Daniellax2</t>
  </si>
  <si>
    <t xml:space="preserve">Deep weave</t>
  </si>
  <si>
    <t xml:space="preserve">Dejava</t>
  </si>
  <si>
    <t xml:space="preserve">Deluxe</t>
  </si>
  <si>
    <t xml:space="preserve">Diva</t>
  </si>
  <si>
    <t xml:space="preserve">Duoz postige long</t>
  </si>
  <si>
    <t xml:space="preserve">Durable</t>
  </si>
  <si>
    <t xml:space="preserve">Eunix Mini twist Sénégal</t>
  </si>
  <si>
    <t xml:space="preserve">Everlove</t>
  </si>
  <si>
    <t xml:space="preserve">Faux mèche</t>
  </si>
  <si>
    <t xml:space="preserve">Filipino</t>
  </si>
  <si>
    <t xml:space="preserve">Flower</t>
  </si>
  <si>
    <t xml:space="preserve">Forever</t>
  </si>
  <si>
    <t xml:space="preserve">Frenche culy</t>
  </si>
  <si>
    <t xml:space="preserve">Frontal naturel</t>
  </si>
  <si>
    <t xml:space="preserve">Frontal synthétique</t>
  </si>
  <si>
    <t xml:space="preserve">Funky</t>
  </si>
  <si>
    <t xml:space="preserve">Générous</t>
  </si>
  <si>
    <t xml:space="preserve">Havana</t>
  </si>
  <si>
    <t xml:space="preserve">Invisible locs</t>
  </si>
  <si>
    <t xml:space="preserve">Janet</t>
  </si>
  <si>
    <t xml:space="preserve">Jino</t>
  </si>
  <si>
    <t xml:space="preserve">Leine</t>
  </si>
  <si>
    <t xml:space="preserve">locs star</t>
  </si>
  <si>
    <t xml:space="preserve">Lx Hair</t>
  </si>
  <si>
    <t xml:space="preserve">Lydia</t>
  </si>
  <si>
    <t xml:space="preserve">Mama christabelle</t>
  </si>
  <si>
    <t xml:space="preserve">Mini beauterflive</t>
  </si>
  <si>
    <t xml:space="preserve">Modern Queen</t>
  </si>
  <si>
    <t xml:space="preserve">Multi</t>
  </si>
  <si>
    <t xml:space="preserve">Natural</t>
  </si>
  <si>
    <t xml:space="preserve">Natural twist grand</t>
  </si>
  <si>
    <t xml:space="preserve">Natural twist petit</t>
  </si>
  <si>
    <t xml:space="preserve">Next bulk</t>
  </si>
  <si>
    <t xml:space="preserve">Olori</t>
  </si>
  <si>
    <t xml:space="preserve">Ondulet grd</t>
  </si>
  <si>
    <t xml:space="preserve">Passion twist</t>
  </si>
  <si>
    <t xml:space="preserve">Passion twist riche</t>
  </si>
  <si>
    <t xml:space="preserve">Pop braid</t>
  </si>
  <si>
    <t xml:space="preserve">Princess locs</t>
  </si>
  <si>
    <t xml:space="preserve">Queen et Girl</t>
  </si>
  <si>
    <t xml:space="preserve">Remy</t>
  </si>
  <si>
    <t xml:space="preserve">Rose mary</t>
  </si>
  <si>
    <t xml:space="preserve">Sara</t>
  </si>
  <si>
    <t xml:space="preserve">Shary</t>
  </si>
  <si>
    <t xml:space="preserve">Spring</t>
  </si>
  <si>
    <t xml:space="preserve">Sublime kinky</t>
  </si>
  <si>
    <t xml:space="preserve">Super twist</t>
  </si>
  <si>
    <t xml:space="preserve">Super valentina</t>
  </si>
  <si>
    <t xml:space="preserve">Sénégalais OROBO</t>
  </si>
  <si>
    <t xml:space="preserve">TC Summber</t>
  </si>
  <si>
    <t xml:space="preserve">Versace</t>
  </si>
  <si>
    <t xml:space="preserve">Vivace</t>
  </si>
  <si>
    <t xml:space="preserve">Vogue cool</t>
  </si>
  <si>
    <t xml:space="preserve">Watermélon</t>
  </si>
  <si>
    <t xml:space="preserve">Wet wave</t>
  </si>
  <si>
    <t xml:space="preserve">Wolosso</t>
  </si>
  <si>
    <t xml:space="preserve">Wéve master</t>
  </si>
  <si>
    <t xml:space="preserve">X 3 locs</t>
  </si>
  <si>
    <t xml:space="preserve">X pressing pt</t>
  </si>
  <si>
    <t xml:space="preserve">X pression kinky</t>
  </si>
  <si>
    <t xml:space="preserve">X-pression détail</t>
  </si>
  <si>
    <t xml:space="preserve">Xpression curly</t>
  </si>
  <si>
    <t xml:space="preserve">Xpression grd</t>
  </si>
  <si>
    <t xml:space="preserve">Xprestige</t>
  </si>
  <si>
    <t xml:space="preserve">Produits</t>
  </si>
  <si>
    <t xml:space="preserve">Aiguille</t>
  </si>
  <si>
    <t xml:space="preserve">Apperl</t>
  </si>
  <si>
    <t xml:space="preserve">Avocado de 1800</t>
  </si>
  <si>
    <t xml:space="preserve">Avocado grand 3</t>
  </si>
  <si>
    <t xml:space="preserve">Ballon de 1300</t>
  </si>
  <si>
    <t xml:space="preserve">Bande cheveux petit</t>
  </si>
  <si>
    <t xml:space="preserve">Bande chouchou</t>
  </si>
  <si>
    <t xml:space="preserve">Bande grand</t>
  </si>
  <si>
    <t xml:space="preserve">Bande noir</t>
  </si>
  <si>
    <t xml:space="preserve">Bande à fleur</t>
  </si>
  <si>
    <t xml:space="preserve">Barrette blanc</t>
  </si>
  <si>
    <t xml:space="preserve">Barrette blanc grand</t>
  </si>
  <si>
    <t xml:space="preserve">Barrette enfant</t>
  </si>
  <si>
    <t xml:space="preserve">Barrette grand</t>
  </si>
  <si>
    <t xml:space="preserve">Barrette mariage</t>
  </si>
  <si>
    <t xml:space="preserve">Barrette papillon</t>
  </si>
  <si>
    <t xml:space="preserve">Barrette petit</t>
  </si>
  <si>
    <t xml:space="preserve">Barrette piquet</t>
  </si>
  <si>
    <t xml:space="preserve">Barrette piquet grand</t>
  </si>
  <si>
    <t xml:space="preserve">Black Magic</t>
  </si>
  <si>
    <t xml:space="preserve">Bobine chiffon</t>
  </si>
  <si>
    <t xml:space="preserve">Bobine grand</t>
  </si>
  <si>
    <t xml:space="preserve">Bobine petit</t>
  </si>
  <si>
    <t xml:space="preserve">Bobine plastique</t>
  </si>
  <si>
    <t xml:space="preserve">Boucle en fer</t>
  </si>
  <si>
    <t xml:space="preserve">Bougie grand</t>
  </si>
  <si>
    <t xml:space="preserve">Bougie petit</t>
  </si>
  <si>
    <t xml:space="preserve">Boîte de produit</t>
  </si>
  <si>
    <t xml:space="preserve">Brosse grand</t>
  </si>
  <si>
    <t xml:space="preserve">Brosse moyen</t>
  </si>
  <si>
    <t xml:space="preserve">Brosse petit</t>
  </si>
  <si>
    <t xml:space="preserve">Brosse rond</t>
  </si>
  <si>
    <t xml:space="preserve">Brosse still</t>
  </si>
  <si>
    <t xml:space="preserve">Cache visage</t>
  </si>
  <si>
    <t xml:space="preserve">Champoing Tip Top</t>
  </si>
  <si>
    <t xml:space="preserve">Champoing tokpa grand</t>
  </si>
  <si>
    <t xml:space="preserve">Champoing tokpa petit</t>
  </si>
  <si>
    <t xml:space="preserve">Champoing élan</t>
  </si>
  <si>
    <t xml:space="preserve">Chapeau cheveux grand</t>
  </si>
  <si>
    <t xml:space="preserve">Chapeau cheveux petit</t>
  </si>
  <si>
    <t xml:space="preserve">Chapeau de bain</t>
  </si>
  <si>
    <t xml:space="preserve">Chapeau de nuit</t>
  </si>
  <si>
    <t xml:space="preserve">Cheveux closure</t>
  </si>
  <si>
    <t xml:space="preserve">Chiffon coiffé petit</t>
  </si>
  <si>
    <t xml:space="preserve">Chiffon grand</t>
  </si>
  <si>
    <t xml:space="preserve">Chouchou baby</t>
  </si>
  <si>
    <t xml:space="preserve">Chouchou bonbon</t>
  </si>
  <si>
    <t xml:space="preserve">Chouchou boule grand</t>
  </si>
  <si>
    <t xml:space="preserve">Chouchou boule petit</t>
  </si>
  <si>
    <t xml:space="preserve">Chouchou de 100 (enfant)</t>
  </si>
  <si>
    <t xml:space="preserve">Chouchou de 150</t>
  </si>
  <si>
    <t xml:space="preserve">Chouchou en 200f</t>
  </si>
  <si>
    <t xml:space="preserve">Chouchou fleur</t>
  </si>
  <si>
    <t xml:space="preserve">Chouchou grand de 300 (adulte)</t>
  </si>
  <si>
    <t xml:space="preserve">Chouchou papillon</t>
  </si>
  <si>
    <t xml:space="preserve">Chouchou perle grand</t>
  </si>
  <si>
    <t xml:space="preserve">Chouchou perle nœud</t>
  </si>
  <si>
    <t xml:space="preserve">Chouchou perle petit</t>
  </si>
  <si>
    <t xml:space="preserve">Chouchou pince</t>
  </si>
  <si>
    <t xml:space="preserve">Ciseau de 250</t>
  </si>
  <si>
    <t xml:space="preserve">Ciseau de 400</t>
  </si>
  <si>
    <t xml:space="preserve">Ciseau de 500</t>
  </si>
  <si>
    <t xml:space="preserve">Closure petit de 2 rait</t>
  </si>
  <si>
    <t xml:space="preserve">Colle active</t>
  </si>
  <si>
    <t xml:space="preserve">Colle frontale grand</t>
  </si>
  <si>
    <t xml:space="preserve">Colle frontale petit</t>
  </si>
  <si>
    <t xml:space="preserve">Colle petit 500/1350</t>
  </si>
  <si>
    <t xml:space="preserve">Colle Ultra</t>
  </si>
  <si>
    <t xml:space="preserve">Coton petit</t>
  </si>
  <si>
    <t xml:space="preserve">Crochet long</t>
  </si>
  <si>
    <t xml:space="preserve">Crochet rasta 1 boue</t>
  </si>
  <si>
    <t xml:space="preserve">Crochet rasta à 2 bouches</t>
  </si>
  <si>
    <t xml:space="preserve">Crochet rasta à 3 bouches</t>
  </si>
  <si>
    <t xml:space="preserve">Crochet rose</t>
  </si>
  <si>
    <t xml:space="preserve">Crochet rose grand</t>
  </si>
  <si>
    <t xml:space="preserve">Dallas grand 3/4400</t>
  </si>
  <si>
    <t xml:space="preserve">Dallas moyen 3/2300</t>
  </si>
  <si>
    <t xml:space="preserve">Dallas petit</t>
  </si>
  <si>
    <t xml:space="preserve">Dermatol</t>
  </si>
  <si>
    <t xml:space="preserve">Dissolvant grand</t>
  </si>
  <si>
    <t xml:space="preserve">Dissolvant petit</t>
  </si>
  <si>
    <t xml:space="preserve">Elastique</t>
  </si>
  <si>
    <t xml:space="preserve">Emballage</t>
  </si>
  <si>
    <t xml:space="preserve">Faux cil complet</t>
  </si>
  <si>
    <t xml:space="preserve">Faux cil en boîte</t>
  </si>
  <si>
    <t xml:space="preserve">Faux cils cherry</t>
  </si>
  <si>
    <t xml:space="preserve">Faux cils détail</t>
  </si>
  <si>
    <t xml:space="preserve">Fer en peigne</t>
  </si>
  <si>
    <t xml:space="preserve">Fer à lisser grand</t>
  </si>
  <si>
    <t xml:space="preserve">Fil Grand</t>
  </si>
  <si>
    <t xml:space="preserve">FIL Petit</t>
  </si>
  <si>
    <t xml:space="preserve">Filet bande</t>
  </si>
  <si>
    <t xml:space="preserve">Filet closure demi</t>
  </si>
  <si>
    <t xml:space="preserve">Filet closure petit</t>
  </si>
  <si>
    <t xml:space="preserve">Filet naturel perruque closure</t>
  </si>
  <si>
    <t xml:space="preserve">Filet perruque</t>
  </si>
  <si>
    <t xml:space="preserve">Filet soutien closure</t>
  </si>
  <si>
    <t xml:space="preserve">Filet soutien sans closure</t>
  </si>
  <si>
    <t xml:space="preserve">Filets chignons</t>
  </si>
  <si>
    <t xml:space="preserve">Fleur de baptême</t>
  </si>
  <si>
    <t xml:space="preserve">Garde cheveux</t>
  </si>
  <si>
    <t xml:space="preserve">Gel pétal grand</t>
  </si>
  <si>
    <t xml:space="preserve">Gel pétales blancs</t>
  </si>
  <si>
    <t xml:space="preserve">Gel pétals moyen</t>
  </si>
  <si>
    <t xml:space="preserve">Gel pétals petit</t>
  </si>
  <si>
    <t xml:space="preserve">Geleco Eko</t>
  </si>
  <si>
    <t xml:space="preserve">Gomme</t>
  </si>
  <si>
    <t xml:space="preserve">Huile Luodais</t>
  </si>
  <si>
    <t xml:space="preserve">Huile Luodoïs au lait</t>
  </si>
  <si>
    <t xml:space="preserve">Huile Luôdaïs carton</t>
  </si>
  <si>
    <t xml:space="preserve">Huile naturel</t>
  </si>
  <si>
    <t xml:space="preserve">Huile Xpression</t>
  </si>
  <si>
    <t xml:space="preserve">King fa</t>
  </si>
  <si>
    <t xml:space="preserve">Lac à huile</t>
  </si>
  <si>
    <t xml:space="preserve">Like merling</t>
  </si>
  <si>
    <t xml:space="preserve">like à huile petit</t>
  </si>
  <si>
    <t xml:space="preserve">Like à mousse Grand</t>
  </si>
  <si>
    <t xml:space="preserve">Like à mousse petit</t>
  </si>
  <si>
    <t xml:space="preserve">Like à sec G</t>
  </si>
  <si>
    <t xml:space="preserve">Like à sec Petit</t>
  </si>
  <si>
    <t xml:space="preserve">Lime chiffon</t>
  </si>
  <si>
    <t xml:space="preserve">Lime en bois</t>
  </si>
  <si>
    <t xml:space="preserve">Lime en bois blanc</t>
  </si>
  <si>
    <t xml:space="preserve">Limé en fer</t>
  </si>
  <si>
    <t xml:space="preserve">Lisseur petit</t>
  </si>
  <si>
    <t xml:space="preserve">Lotion dallas</t>
  </si>
  <si>
    <t xml:space="preserve">Mayonnaise</t>
  </si>
  <si>
    <t xml:space="preserve">Mayonnaise lala</t>
  </si>
  <si>
    <t xml:space="preserve">Mayonnaise olive de 3000</t>
  </si>
  <si>
    <t xml:space="preserve">Mayonnaise petit</t>
  </si>
  <si>
    <t xml:space="preserve">Méga détail</t>
  </si>
  <si>
    <t xml:space="preserve">Méga en carton de 12</t>
  </si>
  <si>
    <t xml:space="preserve">Neutralisant</t>
  </si>
  <si>
    <t xml:space="preserve">Ongle 200</t>
  </si>
  <si>
    <t xml:space="preserve">Ongle blanc 3/250</t>
  </si>
  <si>
    <t xml:space="preserve">Ongle couleur 150</t>
  </si>
  <si>
    <t xml:space="preserve">Ongle de 1200</t>
  </si>
  <si>
    <t xml:space="preserve">Ongle de 250</t>
  </si>
  <si>
    <t xml:space="preserve">Ongle en boîte</t>
  </si>
  <si>
    <t xml:space="preserve">Owie persé….</t>
  </si>
  <si>
    <t xml:space="preserve">Passion</t>
  </si>
  <si>
    <t xml:space="preserve">Peigne afro</t>
  </si>
  <si>
    <t xml:space="preserve">Peigne Afro en fer</t>
  </si>
  <si>
    <t xml:space="preserve">Peigne afro petit</t>
  </si>
  <si>
    <t xml:space="preserve">Peigne complet</t>
  </si>
  <si>
    <t xml:space="preserve">Peigne grand</t>
  </si>
  <si>
    <t xml:space="preserve">Peigne grand à queue</t>
  </si>
  <si>
    <t xml:space="preserve">Peigne moyen</t>
  </si>
  <si>
    <t xml:space="preserve">Peigne rond</t>
  </si>
  <si>
    <t xml:space="preserve">Peigne râteau</t>
  </si>
  <si>
    <t xml:space="preserve">Peigne à larme</t>
  </si>
  <si>
    <t xml:space="preserve">Peigne à produit</t>
  </si>
  <si>
    <t xml:space="preserve">Peigne à queue en fer</t>
  </si>
  <si>
    <t xml:space="preserve">Peigne à queue Petit</t>
  </si>
  <si>
    <t xml:space="preserve">Perle de 2500</t>
  </si>
  <si>
    <t xml:space="preserve">Perle de 3000</t>
  </si>
  <si>
    <t xml:space="preserve">Perle de 500</t>
  </si>
  <si>
    <t xml:space="preserve">Perle paquet de 1800</t>
  </si>
  <si>
    <t xml:space="preserve">Piques</t>
  </si>
  <si>
    <t xml:space="preserve">Pommade cyndie</t>
  </si>
  <si>
    <t xml:space="preserve">Poudre produit GBB</t>
  </si>
  <si>
    <t xml:space="preserve">Produit ABC petit</t>
  </si>
  <si>
    <t xml:space="preserve">Produit BO-16</t>
  </si>
  <si>
    <t xml:space="preserve">Produit Casetimes</t>
  </si>
  <si>
    <t xml:space="preserve">Produit Dallas</t>
  </si>
  <si>
    <t xml:space="preserve">Produit olive</t>
  </si>
  <si>
    <t xml:space="preserve">Produit optimal</t>
  </si>
  <si>
    <t xml:space="preserve">Pétal one grand</t>
  </si>
  <si>
    <t xml:space="preserve">Rouleau noir coiffeuse</t>
  </si>
  <si>
    <t xml:space="preserve">Ruban brillant</t>
  </si>
  <si>
    <t xml:space="preserve">Ruban petit</t>
  </si>
  <si>
    <t xml:space="preserve">Ruban simple</t>
  </si>
  <si>
    <t xml:space="preserve">Sachet petit</t>
  </si>
  <si>
    <t xml:space="preserve">Sans colle</t>
  </si>
  <si>
    <t xml:space="preserve">Scotche</t>
  </si>
  <si>
    <t xml:space="preserve">Secret</t>
  </si>
  <si>
    <t xml:space="preserve">Soleil grand</t>
  </si>
  <si>
    <t xml:space="preserve">Soleil petit</t>
  </si>
  <si>
    <t xml:space="preserve">Soleil petit faux</t>
  </si>
  <si>
    <t xml:space="preserve">Super glu grand</t>
  </si>
  <si>
    <t xml:space="preserve">Super glu petit</t>
  </si>
  <si>
    <t xml:space="preserve">Super glue</t>
  </si>
  <si>
    <t xml:space="preserve">Séchoir</t>
  </si>
  <si>
    <t xml:space="preserve">Taille ongle</t>
  </si>
  <si>
    <t xml:space="preserve">Taille ongle original</t>
  </si>
  <si>
    <t xml:space="preserve">Tam tam couleur</t>
  </si>
  <si>
    <t xml:space="preserve">Tam tam yizia</t>
  </si>
  <si>
    <t xml:space="preserve">Tam-tam got 26</t>
  </si>
  <si>
    <t xml:space="preserve">Tam-Tam got 26 jaune</t>
  </si>
  <si>
    <t xml:space="preserve">Tam-Tam olive petit</t>
  </si>
  <si>
    <t xml:space="preserve">Tam-tam overa</t>
  </si>
  <si>
    <t xml:space="preserve">Teinte chinois</t>
  </si>
  <si>
    <t xml:space="preserve">Teinte cruset 3/1200</t>
  </si>
  <si>
    <t xml:space="preserve">Teinte subaru 400/3000</t>
  </si>
  <si>
    <t xml:space="preserve">Teinte tancho</t>
  </si>
  <si>
    <t xml:space="preserve">Tête cheveux</t>
  </si>
  <si>
    <t xml:space="preserve">Tête grande</t>
  </si>
  <si>
    <t xml:space="preserve">Tête ronde</t>
  </si>
  <si>
    <t xml:space="preserve">Vernis couleur</t>
  </si>
  <si>
    <t xml:space="preserve">Vernis neutre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</si>
</sst>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7306B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A65A00"/>
      <name val="Arial"/>
      <family val="0"/>
      <charset val="1"/>
    </font>
    <font>
      <b val="true"/>
      <sz val="11"/>
      <color rgb="FFB3261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7306B"/>
        <bgColor rgb="FF333333"/>
      </patternFill>
    </fill>
    <fill>
      <patternFill patternType="solid">
        <fgColor rgb="FFFFF2CC"/>
        <bgColor rgb="FFFBE1D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7306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1DF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>
          <bgColor rgb="FFFBE1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65A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1D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3261E"/>
      <rgbColor rgb="FF993366"/>
      <rgbColor rgb="FF2730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35.8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39.55" hidden="false" customHeight="false" outlineLevel="0" collapsed="false">
      <c r="A3" s="2" t="s">
        <v>1</v>
      </c>
      <c r="B3" s="2"/>
    </row>
    <row r="4" customFormat="false" ht="26.85" hidden="false" customHeight="false" outlineLevel="0" collapsed="false">
      <c r="A4" s="3" t="s">
        <v>2</v>
      </c>
      <c r="B4" s="2"/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4" t="s">
        <v>3</v>
      </c>
      <c r="B6" s="4" t="s">
        <v>4</v>
      </c>
    </row>
    <row r="7" customFormat="false" ht="26.85" hidden="false" customHeight="false" outlineLevel="0" collapsed="false">
      <c r="A7" s="2" t="s">
        <v>5</v>
      </c>
      <c r="B7" s="2" t="s">
        <v>6</v>
      </c>
    </row>
    <row r="8" customFormat="false" ht="26.85" hidden="false" customHeight="false" outlineLevel="0" collapsed="false">
      <c r="A8" s="2" t="s">
        <v>7</v>
      </c>
      <c r="B8" s="2" t="s">
        <v>8</v>
      </c>
    </row>
    <row r="9" customFormat="false" ht="15" hidden="false" customHeight="false" outlineLevel="0" collapsed="false">
      <c r="A9" s="2" t="s">
        <v>9</v>
      </c>
      <c r="B9" s="2" t="s">
        <v>10</v>
      </c>
    </row>
    <row r="10" customFormat="false" ht="15" hidden="false" customHeight="false" outlineLevel="0" collapsed="false">
      <c r="A10" s="2" t="s">
        <v>11</v>
      </c>
      <c r="B10" s="2" t="s">
        <v>12</v>
      </c>
    </row>
    <row r="11" customFormat="false" ht="15" hidden="false" customHeight="false" outlineLevel="0" collapsed="false">
      <c r="A11" s="2" t="s">
        <v>13</v>
      </c>
      <c r="B11" s="2" t="s">
        <v>14</v>
      </c>
    </row>
    <row r="12" customFormat="false" ht="15" hidden="false" customHeight="false" outlineLevel="0" collapsed="false">
      <c r="A12" s="2" t="s">
        <v>15</v>
      </c>
      <c r="B12" s="2" t="s">
        <v>16</v>
      </c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2" t="s">
        <v>17</v>
      </c>
      <c r="B14" s="2" t="s">
        <v>18</v>
      </c>
    </row>
    <row r="15" customFormat="false" ht="15" hidden="false" customHeight="false" outlineLevel="0" collapsed="false">
      <c r="A15" s="2"/>
      <c r="B15" s="2"/>
    </row>
    <row r="16" customFormat="false" ht="15" hidden="false" customHeight="false" outlineLevel="0" collapsed="false">
      <c r="A16" s="3" t="s">
        <v>19</v>
      </c>
      <c r="B16" s="5" t="n">
        <f aca="false">COUNTA(Articles!B2:B357)</f>
        <v>316</v>
      </c>
    </row>
    <row r="17" customFormat="false" ht="15" hidden="false" customHeight="false" outlineLevel="0" collapsed="false">
      <c r="A17" s="3" t="s">
        <v>20</v>
      </c>
      <c r="B17" s="5" t="n">
        <f aca="false">COUNTIFS(Articles!B2:B357,"&lt;&gt;",Articles!D2:D357,"")</f>
        <v>43</v>
      </c>
    </row>
    <row r="18" customFormat="false" ht="15" hidden="false" customHeight="false" outlineLevel="0" collapsed="false">
      <c r="A18" s="3" t="s">
        <v>21</v>
      </c>
      <c r="B18" s="5" t="n">
        <f aca="false">COUNTIFS(Articles!B2:B357,"&lt;&gt;",Articles!C2:C357,"")</f>
        <v>316</v>
      </c>
    </row>
    <row r="19" customFormat="false" ht="15" hidden="false" customHeight="false" outlineLevel="0" collapsed="false">
      <c r="A19" s="3" t="s">
        <v>22</v>
      </c>
      <c r="B19" s="5" t="n">
        <f aca="false">SUM(Articles!F2:F357)</f>
        <v>0</v>
      </c>
    </row>
    <row r="20" customFormat="false" ht="15" hidden="false" customHeight="false" outlineLevel="0" collapsed="false">
      <c r="A20" s="3" t="s">
        <v>23</v>
      </c>
      <c r="B20" s="5" t="n">
        <f aca="false">SUMPRODUCT(Articles!D2:D357,Articles!F2:F357)</f>
        <v>0</v>
      </c>
    </row>
    <row r="21" customFormat="false" ht="26.85" hidden="false" customHeight="false" outlineLevel="0" collapsed="false">
      <c r="A21" s="3" t="s">
        <v>24</v>
      </c>
      <c r="B21" s="5" t="n">
        <f aca="false">SUMPRODUCT(Articles!C2:C357,Articles!F2:F357)</f>
        <v>0</v>
      </c>
    </row>
    <row r="22" customFormat="false" ht="15" hidden="false" customHeight="false" outlineLevel="0" collapsed="false">
      <c r="A22" s="2"/>
      <c r="B22" s="2"/>
    </row>
    <row r="23" customFormat="false" ht="26.85" hidden="false" customHeight="false" outlineLevel="0" collapsed="false">
      <c r="A23" s="6" t="s">
        <v>25</v>
      </c>
      <c r="B23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6" min="3" style="0" width="15"/>
    <col collapsed="false" customWidth="true" hidden="false" outlineLevel="0" max="7" min="7" style="0" width="32"/>
  </cols>
  <sheetData>
    <row r="1" customFormat="false" ht="31.5" hidden="false" customHeight="true" outlineLevel="0" collapsed="false">
      <c r="A1" s="7" t="s">
        <v>27</v>
      </c>
      <c r="B1" s="7" t="s">
        <v>28</v>
      </c>
      <c r="C1" s="7" t="s">
        <v>5</v>
      </c>
      <c r="D1" s="7" t="s">
        <v>7</v>
      </c>
      <c r="E1" s="7" t="s">
        <v>9</v>
      </c>
      <c r="F1" s="7" t="s">
        <v>11</v>
      </c>
      <c r="G1" s="7" t="s">
        <v>29</v>
      </c>
    </row>
    <row r="2" customFormat="false" ht="15" hidden="false" customHeight="false" outlineLevel="0" collapsed="false">
      <c r="A2" s="8" t="s">
        <v>30</v>
      </c>
      <c r="B2" s="8" t="s">
        <v>31</v>
      </c>
      <c r="C2" s="9"/>
      <c r="D2" s="9" t="n">
        <v>1400</v>
      </c>
      <c r="E2" s="9"/>
      <c r="F2" s="9"/>
      <c r="G2" s="10" t="str">
        <f aca="false">IF(B2="","",IF(D2="","Prix détail manquant",IF(AND(E2&lt;&gt;"",E2&gt;D2),"Prix gros plus cher que détail ?",IF(AND(C2&lt;&gt;"",C2&gt;=D2),"Vendu à perte ?",IF(AND(C2&lt;&gt;"",E2&lt;&gt;"",C2&gt;=E2),"Gros vendu à perte ?","")))))</f>
        <v/>
      </c>
    </row>
    <row r="3" customFormat="false" ht="15" hidden="false" customHeight="false" outlineLevel="0" collapsed="false">
      <c r="A3" s="8" t="s">
        <v>30</v>
      </c>
      <c r="B3" s="8" t="s">
        <v>32</v>
      </c>
      <c r="C3" s="9"/>
      <c r="D3" s="9" t="n">
        <v>3000</v>
      </c>
      <c r="E3" s="9"/>
      <c r="F3" s="9"/>
      <c r="G3" s="10" t="str">
        <f aca="false">IF(B3="","",IF(D3="","Prix détail manquant",IF(AND(E3&lt;&gt;"",E3&gt;D3),"Prix gros plus cher que détail ?",IF(AND(C3&lt;&gt;"",C3&gt;=D3),"Vendu à perte ?",IF(AND(C3&lt;&gt;"",E3&lt;&gt;"",C3&gt;=E3),"Gros vendu à perte ?","")))))</f>
        <v/>
      </c>
    </row>
    <row r="4" customFormat="false" ht="15" hidden="false" customHeight="false" outlineLevel="0" collapsed="false">
      <c r="A4" s="8" t="s">
        <v>30</v>
      </c>
      <c r="B4" s="8" t="s">
        <v>33</v>
      </c>
      <c r="C4" s="9"/>
      <c r="D4" s="9" t="n">
        <v>1500</v>
      </c>
      <c r="E4" s="9"/>
      <c r="F4" s="9"/>
      <c r="G4" s="10" t="str">
        <f aca="false">IF(B4="","",IF(D4="","Prix détail manquant",IF(AND(E4&lt;&gt;"",E4&gt;D4),"Prix gros plus cher que détail ?",IF(AND(C4&lt;&gt;"",C4&gt;=D4),"Vendu à perte ?",IF(AND(C4&lt;&gt;"",E4&lt;&gt;"",C4&gt;=E4),"Gros vendu à perte ?","")))))</f>
        <v/>
      </c>
    </row>
    <row r="5" customFormat="false" ht="15" hidden="false" customHeight="false" outlineLevel="0" collapsed="false">
      <c r="A5" s="8" t="s">
        <v>30</v>
      </c>
      <c r="B5" s="8" t="s">
        <v>34</v>
      </c>
      <c r="C5" s="9"/>
      <c r="D5" s="9" t="n">
        <v>2200</v>
      </c>
      <c r="E5" s="9"/>
      <c r="F5" s="9"/>
      <c r="G5" s="10" t="str">
        <f aca="false">IF(B5="","",IF(D5="","Prix détail manquant",IF(AND(E5&lt;&gt;"",E5&gt;D5),"Prix gros plus cher que détail ?",IF(AND(C5&lt;&gt;"",C5&gt;=D5),"Vendu à perte ?",IF(AND(C5&lt;&gt;"",E5&lt;&gt;"",C5&gt;=E5),"Gros vendu à perte ?","")))))</f>
        <v/>
      </c>
    </row>
    <row r="6" customFormat="false" ht="15" hidden="false" customHeight="false" outlineLevel="0" collapsed="false">
      <c r="A6" s="8" t="s">
        <v>30</v>
      </c>
      <c r="B6" s="8" t="s">
        <v>35</v>
      </c>
      <c r="C6" s="9"/>
      <c r="D6" s="9" t="n">
        <v>5000</v>
      </c>
      <c r="E6" s="9"/>
      <c r="F6" s="9"/>
      <c r="G6" s="10" t="str">
        <f aca="false">IF(B6="","",IF(D6="","Prix détail manquant",IF(AND(E6&lt;&gt;"",E6&gt;D6),"Prix gros plus cher que détail ?",IF(AND(C6&lt;&gt;"",C6&gt;=D6),"Vendu à perte ?",IF(AND(C6&lt;&gt;"",E6&lt;&gt;"",C6&gt;=E6),"Gros vendu à perte ?","")))))</f>
        <v/>
      </c>
    </row>
    <row r="7" customFormat="false" ht="15" hidden="false" customHeight="false" outlineLevel="0" collapsed="false">
      <c r="A7" s="8" t="s">
        <v>30</v>
      </c>
      <c r="B7" s="8" t="s">
        <v>36</v>
      </c>
      <c r="C7" s="9"/>
      <c r="D7" s="9" t="n">
        <v>1335</v>
      </c>
      <c r="E7" s="9"/>
      <c r="F7" s="9"/>
      <c r="G7" s="10" t="str">
        <f aca="false">IF(B7="","",IF(D7="","Prix détail manquant",IF(AND(E7&lt;&gt;"",E7&gt;D7),"Prix gros plus cher que détail ?",IF(AND(C7&lt;&gt;"",C7&gt;=D7),"Vendu à perte ?",IF(AND(C7&lt;&gt;"",E7&lt;&gt;"",C7&gt;=E7),"Gros vendu à perte ?","")))))</f>
        <v/>
      </c>
    </row>
    <row r="8" customFormat="false" ht="15" hidden="false" customHeight="false" outlineLevel="0" collapsed="false">
      <c r="A8" s="8" t="s">
        <v>30</v>
      </c>
      <c r="B8" s="8" t="s">
        <v>37</v>
      </c>
      <c r="C8" s="9"/>
      <c r="D8" s="9" t="n">
        <v>1670</v>
      </c>
      <c r="E8" s="9"/>
      <c r="F8" s="9"/>
      <c r="G8" s="10" t="str">
        <f aca="false">IF(B8="","",IF(D8="","Prix détail manquant",IF(AND(E8&lt;&gt;"",E8&gt;D8),"Prix gros plus cher que détail ?",IF(AND(C8&lt;&gt;"",C8&gt;=D8),"Vendu à perte ?",IF(AND(C8&lt;&gt;"",E8&lt;&gt;"",C8&gt;=E8),"Gros vendu à perte ?","")))))</f>
        <v/>
      </c>
    </row>
    <row r="9" customFormat="false" ht="15" hidden="false" customHeight="false" outlineLevel="0" collapsed="false">
      <c r="A9" s="8" t="s">
        <v>30</v>
      </c>
      <c r="B9" s="8" t="s">
        <v>38</v>
      </c>
      <c r="C9" s="9"/>
      <c r="D9" s="9" t="n">
        <v>3500</v>
      </c>
      <c r="E9" s="9"/>
      <c r="F9" s="9"/>
      <c r="G9" s="10" t="str">
        <f aca="false">IF(B9="","",IF(D9="","Prix détail manquant",IF(AND(E9&lt;&gt;"",E9&gt;D9),"Prix gros plus cher que détail ?",IF(AND(C9&lt;&gt;"",C9&gt;=D9),"Vendu à perte ?",IF(AND(C9&lt;&gt;"",E9&lt;&gt;"",C9&gt;=E9),"Gros vendu à perte ?","")))))</f>
        <v/>
      </c>
    </row>
    <row r="10" customFormat="false" ht="15" hidden="false" customHeight="false" outlineLevel="0" collapsed="false">
      <c r="A10" s="8" t="s">
        <v>30</v>
      </c>
      <c r="B10" s="8" t="s">
        <v>39</v>
      </c>
      <c r="C10" s="9"/>
      <c r="D10" s="9" t="n">
        <v>3000</v>
      </c>
      <c r="E10" s="9"/>
      <c r="F10" s="9"/>
      <c r="G10" s="10" t="str">
        <f aca="false">IF(B10="","",IF(D10="","Prix détail manquant",IF(AND(E10&lt;&gt;"",E10&gt;D10),"Prix gros plus cher que détail ?",IF(AND(C10&lt;&gt;"",C10&gt;=D10),"Vendu à perte ?",IF(AND(C10&lt;&gt;"",E10&lt;&gt;"",C10&gt;=E10),"Gros vendu à perte ?","")))))</f>
        <v/>
      </c>
    </row>
    <row r="11" customFormat="false" ht="15" hidden="false" customHeight="false" outlineLevel="0" collapsed="false">
      <c r="A11" s="8" t="s">
        <v>30</v>
      </c>
      <c r="B11" s="8" t="s">
        <v>40</v>
      </c>
      <c r="C11" s="9"/>
      <c r="D11" s="9" t="n">
        <v>4500</v>
      </c>
      <c r="E11" s="9"/>
      <c r="F11" s="9"/>
      <c r="G11" s="10" t="str">
        <f aca="false">IF(B11="","",IF(D11="","Prix détail manquant",IF(AND(E11&lt;&gt;"",E11&gt;D11),"Prix gros plus cher que détail ?",IF(AND(C11&lt;&gt;"",C11&gt;=D11),"Vendu à perte ?",IF(AND(C11&lt;&gt;"",E11&lt;&gt;"",C11&gt;=E11),"Gros vendu à perte ?","")))))</f>
        <v/>
      </c>
    </row>
    <row r="12" customFormat="false" ht="15" hidden="false" customHeight="false" outlineLevel="0" collapsed="false">
      <c r="A12" s="8" t="s">
        <v>30</v>
      </c>
      <c r="B12" s="8" t="s">
        <v>41</v>
      </c>
      <c r="C12" s="9"/>
      <c r="D12" s="9" t="n">
        <v>2500</v>
      </c>
      <c r="E12" s="9"/>
      <c r="F12" s="9"/>
      <c r="G12" s="10" t="str">
        <f aca="false">IF(B12="","",IF(D12="","Prix détail manquant",IF(AND(E12&lt;&gt;"",E12&gt;D12),"Prix gros plus cher que détail ?",IF(AND(C12&lt;&gt;"",C12&gt;=D12),"Vendu à perte ?",IF(AND(C12&lt;&gt;"",E12&lt;&gt;"",C12&gt;=E12),"Gros vendu à perte ?","")))))</f>
        <v/>
      </c>
    </row>
    <row r="13" customFormat="false" ht="15" hidden="false" customHeight="false" outlineLevel="0" collapsed="false">
      <c r="A13" s="8" t="s">
        <v>30</v>
      </c>
      <c r="B13" s="8" t="s">
        <v>42</v>
      </c>
      <c r="C13" s="9"/>
      <c r="D13" s="9" t="n">
        <v>2000</v>
      </c>
      <c r="E13" s="9"/>
      <c r="F13" s="9"/>
      <c r="G13" s="10" t="str">
        <f aca="false">IF(B13="","",IF(D13="","Prix détail manquant",IF(AND(E13&lt;&gt;"",E13&gt;D13),"Prix gros plus cher que détail ?",IF(AND(C13&lt;&gt;"",C13&gt;=D13),"Vendu à perte ?",IF(AND(C13&lt;&gt;"",E13&lt;&gt;"",C13&gt;=E13),"Gros vendu à perte ?","")))))</f>
        <v/>
      </c>
    </row>
    <row r="14" customFormat="false" ht="15" hidden="false" customHeight="false" outlineLevel="0" collapsed="false">
      <c r="A14" s="8" t="s">
        <v>30</v>
      </c>
      <c r="B14" s="8" t="s">
        <v>43</v>
      </c>
      <c r="C14" s="9"/>
      <c r="D14" s="9" t="n">
        <v>2800</v>
      </c>
      <c r="E14" s="9"/>
      <c r="F14" s="9"/>
      <c r="G14" s="10" t="str">
        <f aca="false">IF(B14="","",IF(D14="","Prix détail manquant",IF(AND(E14&lt;&gt;"",E14&gt;D14),"Prix gros plus cher que détail ?",IF(AND(C14&lt;&gt;"",C14&gt;=D14),"Vendu à perte ?",IF(AND(C14&lt;&gt;"",E14&lt;&gt;"",C14&gt;=E14),"Gros vendu à perte ?","")))))</f>
        <v/>
      </c>
    </row>
    <row r="15" customFormat="false" ht="15" hidden="false" customHeight="false" outlineLevel="0" collapsed="false">
      <c r="A15" s="8" t="s">
        <v>30</v>
      </c>
      <c r="B15" s="8" t="s">
        <v>44</v>
      </c>
      <c r="C15" s="9"/>
      <c r="D15" s="9" t="n">
        <v>2000</v>
      </c>
      <c r="E15" s="9"/>
      <c r="F15" s="9"/>
      <c r="G15" s="10" t="str">
        <f aca="false">IF(B15="","",IF(D15="","Prix détail manquant",IF(AND(E15&lt;&gt;"",E15&gt;D15),"Prix gros plus cher que détail ?",IF(AND(C15&lt;&gt;"",C15&gt;=D15),"Vendu à perte ?",IF(AND(C15&lt;&gt;"",E15&lt;&gt;"",C15&gt;=E15),"Gros vendu à perte ?","")))))</f>
        <v/>
      </c>
    </row>
    <row r="16" customFormat="false" ht="15" hidden="false" customHeight="false" outlineLevel="0" collapsed="false">
      <c r="A16" s="8" t="s">
        <v>30</v>
      </c>
      <c r="B16" s="8" t="s">
        <v>45</v>
      </c>
      <c r="C16" s="9"/>
      <c r="D16" s="9" t="n">
        <v>1600</v>
      </c>
      <c r="E16" s="9"/>
      <c r="F16" s="9"/>
      <c r="G16" s="10" t="str">
        <f aca="false">IF(B16="","",IF(D16="","Prix détail manquant",IF(AND(E16&lt;&gt;"",E16&gt;D16),"Prix gros plus cher que détail ?",IF(AND(C16&lt;&gt;"",C16&gt;=D16),"Vendu à perte ?",IF(AND(C16&lt;&gt;"",E16&lt;&gt;"",C16&gt;=E16),"Gros vendu à perte ?","")))))</f>
        <v/>
      </c>
    </row>
    <row r="17" customFormat="false" ht="15" hidden="false" customHeight="false" outlineLevel="0" collapsed="false">
      <c r="A17" s="8" t="s">
        <v>30</v>
      </c>
      <c r="B17" s="8" t="s">
        <v>46</v>
      </c>
      <c r="C17" s="9"/>
      <c r="D17" s="9" t="n">
        <v>2000</v>
      </c>
      <c r="E17" s="9"/>
      <c r="F17" s="9"/>
      <c r="G17" s="10" t="str">
        <f aca="false">IF(B17="","",IF(D17="","Prix détail manquant",IF(AND(E17&lt;&gt;"",E17&gt;D17),"Prix gros plus cher que détail ?",IF(AND(C17&lt;&gt;"",C17&gt;=D17),"Vendu à perte ?",IF(AND(C17&lt;&gt;"",E17&lt;&gt;"",C17&gt;=E17),"Gros vendu à perte ?","")))))</f>
        <v/>
      </c>
    </row>
    <row r="18" customFormat="false" ht="15" hidden="false" customHeight="false" outlineLevel="0" collapsed="false">
      <c r="A18" s="8" t="s">
        <v>30</v>
      </c>
      <c r="B18" s="8" t="s">
        <v>47</v>
      </c>
      <c r="C18" s="9"/>
      <c r="D18" s="9" t="n">
        <v>2000</v>
      </c>
      <c r="E18" s="9"/>
      <c r="F18" s="9"/>
      <c r="G18" s="10" t="str">
        <f aca="false">IF(B18="","",IF(D18="","Prix détail manquant",IF(AND(E18&lt;&gt;"",E18&gt;D18),"Prix gros plus cher que détail ?",IF(AND(C18&lt;&gt;"",C18&gt;=D18),"Vendu à perte ?",IF(AND(C18&lt;&gt;"",E18&lt;&gt;"",C18&gt;=E18),"Gros vendu à perte ?","")))))</f>
        <v/>
      </c>
    </row>
    <row r="19" customFormat="false" ht="15" hidden="false" customHeight="false" outlineLevel="0" collapsed="false">
      <c r="A19" s="8" t="s">
        <v>30</v>
      </c>
      <c r="B19" s="8" t="s">
        <v>48</v>
      </c>
      <c r="C19" s="9"/>
      <c r="D19" s="9" t="n">
        <v>4000</v>
      </c>
      <c r="E19" s="9"/>
      <c r="F19" s="9"/>
      <c r="G19" s="10" t="str">
        <f aca="false">IF(B19="","",IF(D19="","Prix détail manquant",IF(AND(E19&lt;&gt;"",E19&gt;D19),"Prix gros plus cher que détail ?",IF(AND(C19&lt;&gt;"",C19&gt;=D19),"Vendu à perte ?",IF(AND(C19&lt;&gt;"",E19&lt;&gt;"",C19&gt;=E19),"Gros vendu à perte ?","")))))</f>
        <v/>
      </c>
    </row>
    <row r="20" customFormat="false" ht="15" hidden="false" customHeight="false" outlineLevel="0" collapsed="false">
      <c r="A20" s="8" t="s">
        <v>30</v>
      </c>
      <c r="B20" s="8" t="s">
        <v>49</v>
      </c>
      <c r="C20" s="9"/>
      <c r="D20" s="9" t="n">
        <v>3500</v>
      </c>
      <c r="E20" s="9"/>
      <c r="F20" s="9"/>
      <c r="G20" s="10" t="str">
        <f aca="false">IF(B20="","",IF(D20="","Prix détail manquant",IF(AND(E20&lt;&gt;"",E20&gt;D20),"Prix gros plus cher que détail ?",IF(AND(C20&lt;&gt;"",C20&gt;=D20),"Vendu à perte ?",IF(AND(C20&lt;&gt;"",E20&lt;&gt;"",C20&gt;=E20),"Gros vendu à perte ?","")))))</f>
        <v/>
      </c>
    </row>
    <row r="21" customFormat="false" ht="15" hidden="false" customHeight="false" outlineLevel="0" collapsed="false">
      <c r="A21" s="8" t="s">
        <v>30</v>
      </c>
      <c r="B21" s="8" t="s">
        <v>50</v>
      </c>
      <c r="C21" s="9"/>
      <c r="D21" s="9" t="n">
        <v>4000</v>
      </c>
      <c r="E21" s="9"/>
      <c r="F21" s="9"/>
      <c r="G21" s="10" t="str">
        <f aca="false">IF(B21="","",IF(D21="","Prix détail manquant",IF(AND(E21&lt;&gt;"",E21&gt;D21),"Prix gros plus cher que détail ?",IF(AND(C21&lt;&gt;"",C21&gt;=D21),"Vendu à perte ?",IF(AND(C21&lt;&gt;"",E21&lt;&gt;"",C21&gt;=E21),"Gros vendu à perte ?","")))))</f>
        <v/>
      </c>
    </row>
    <row r="22" customFormat="false" ht="15" hidden="false" customHeight="false" outlineLevel="0" collapsed="false">
      <c r="A22" s="8" t="s">
        <v>30</v>
      </c>
      <c r="B22" s="8" t="s">
        <v>51</v>
      </c>
      <c r="C22" s="9"/>
      <c r="D22" s="9" t="n">
        <v>1400</v>
      </c>
      <c r="E22" s="9"/>
      <c r="F22" s="9"/>
      <c r="G22" s="10" t="str">
        <f aca="false">IF(B22="","",IF(D22="","Prix détail manquant",IF(AND(E22&lt;&gt;"",E22&gt;D22),"Prix gros plus cher que détail ?",IF(AND(C22&lt;&gt;"",C22&gt;=D22),"Vendu à perte ?",IF(AND(C22&lt;&gt;"",E22&lt;&gt;"",C22&gt;=E22),"Gros vendu à perte ?","")))))</f>
        <v/>
      </c>
    </row>
    <row r="23" customFormat="false" ht="15" hidden="false" customHeight="false" outlineLevel="0" collapsed="false">
      <c r="A23" s="8" t="s">
        <v>30</v>
      </c>
      <c r="B23" s="8" t="s">
        <v>52</v>
      </c>
      <c r="C23" s="9"/>
      <c r="D23" s="9" t="n">
        <v>5500</v>
      </c>
      <c r="E23" s="9"/>
      <c r="F23" s="9"/>
      <c r="G23" s="10" t="str">
        <f aca="false">IF(B23="","",IF(D23="","Prix détail manquant",IF(AND(E23&lt;&gt;"",E23&gt;D23),"Prix gros plus cher que détail ?",IF(AND(C23&lt;&gt;"",C23&gt;=D23),"Vendu à perte ?",IF(AND(C23&lt;&gt;"",E23&lt;&gt;"",C23&gt;=E23),"Gros vendu à perte ?","")))))</f>
        <v/>
      </c>
    </row>
    <row r="24" customFormat="false" ht="15" hidden="false" customHeight="false" outlineLevel="0" collapsed="false">
      <c r="A24" s="8" t="s">
        <v>30</v>
      </c>
      <c r="B24" s="8" t="s">
        <v>53</v>
      </c>
      <c r="C24" s="9"/>
      <c r="D24" s="9" t="n">
        <v>9000</v>
      </c>
      <c r="E24" s="9"/>
      <c r="F24" s="9"/>
      <c r="G24" s="10" t="str">
        <f aca="false">IF(B24="","",IF(D24="","Prix détail manquant",IF(AND(E24&lt;&gt;"",E24&gt;D24),"Prix gros plus cher que détail ?",IF(AND(C24&lt;&gt;"",C24&gt;=D24),"Vendu à perte ?",IF(AND(C24&lt;&gt;"",E24&lt;&gt;"",C24&gt;=E24),"Gros vendu à perte ?","")))))</f>
        <v/>
      </c>
    </row>
    <row r="25" customFormat="false" ht="15" hidden="false" customHeight="false" outlineLevel="0" collapsed="false">
      <c r="A25" s="8" t="s">
        <v>30</v>
      </c>
      <c r="B25" s="8" t="s">
        <v>54</v>
      </c>
      <c r="C25" s="9"/>
      <c r="D25" s="9" t="n">
        <v>2500</v>
      </c>
      <c r="E25" s="9"/>
      <c r="F25" s="9"/>
      <c r="G25" s="10" t="str">
        <f aca="false">IF(B25="","",IF(D25="","Prix détail manquant",IF(AND(E25&lt;&gt;"",E25&gt;D25),"Prix gros plus cher que détail ?",IF(AND(C25&lt;&gt;"",C25&gt;=D25),"Vendu à perte ?",IF(AND(C25&lt;&gt;"",E25&lt;&gt;"",C25&gt;=E25),"Gros vendu à perte ?","")))))</f>
        <v/>
      </c>
    </row>
    <row r="26" customFormat="false" ht="15" hidden="false" customHeight="false" outlineLevel="0" collapsed="false">
      <c r="A26" s="8" t="s">
        <v>30</v>
      </c>
      <c r="B26" s="8" t="s">
        <v>55</v>
      </c>
      <c r="C26" s="9"/>
      <c r="D26" s="9" t="n">
        <v>500</v>
      </c>
      <c r="E26" s="9"/>
      <c r="F26" s="9"/>
      <c r="G26" s="10" t="str">
        <f aca="false">IF(B26="","",IF(D26="","Prix détail manquant",IF(AND(E26&lt;&gt;"",E26&gt;D26),"Prix gros plus cher que détail ?",IF(AND(C26&lt;&gt;"",C26&gt;=D26),"Vendu à perte ?",IF(AND(C26&lt;&gt;"",E26&lt;&gt;"",C26&gt;=E26),"Gros vendu à perte ?","")))))</f>
        <v/>
      </c>
    </row>
    <row r="27" customFormat="false" ht="15" hidden="false" customHeight="false" outlineLevel="0" collapsed="false">
      <c r="A27" s="8" t="s">
        <v>30</v>
      </c>
      <c r="B27" s="8" t="s">
        <v>56</v>
      </c>
      <c r="C27" s="9"/>
      <c r="D27" s="9" t="n">
        <v>170</v>
      </c>
      <c r="E27" s="9"/>
      <c r="F27" s="9"/>
      <c r="G27" s="10" t="str">
        <f aca="false">IF(B27="","",IF(D27="","Prix détail manquant",IF(AND(E27&lt;&gt;"",E27&gt;D27),"Prix gros plus cher que détail ?",IF(AND(C27&lt;&gt;"",C27&gt;=D27),"Vendu à perte ?",IF(AND(C27&lt;&gt;"",E27&lt;&gt;"",C27&gt;=E27),"Gros vendu à perte ?","")))))</f>
        <v/>
      </c>
    </row>
    <row r="28" customFormat="false" ht="15" hidden="false" customHeight="false" outlineLevel="0" collapsed="false">
      <c r="A28" s="8" t="s">
        <v>30</v>
      </c>
      <c r="B28" s="8" t="s">
        <v>57</v>
      </c>
      <c r="C28" s="9"/>
      <c r="D28" s="9" t="n">
        <v>1170</v>
      </c>
      <c r="E28" s="9"/>
      <c r="F28" s="9"/>
      <c r="G28" s="10" t="str">
        <f aca="false">IF(B28="","",IF(D28="","Prix détail manquant",IF(AND(E28&lt;&gt;"",E28&gt;D28),"Prix gros plus cher que détail ?",IF(AND(C28&lt;&gt;"",C28&gt;=D28),"Vendu à perte ?",IF(AND(C28&lt;&gt;"",E28&lt;&gt;"",C28&gt;=E28),"Gros vendu à perte ?","")))))</f>
        <v/>
      </c>
    </row>
    <row r="29" customFormat="false" ht="15" hidden="false" customHeight="false" outlineLevel="0" collapsed="false">
      <c r="A29" s="8" t="s">
        <v>30</v>
      </c>
      <c r="B29" s="8" t="s">
        <v>58</v>
      </c>
      <c r="C29" s="9"/>
      <c r="D29" s="9" t="n">
        <v>1170</v>
      </c>
      <c r="E29" s="9"/>
      <c r="F29" s="9"/>
      <c r="G29" s="10" t="str">
        <f aca="false">IF(B29="","",IF(D29="","Prix détail manquant",IF(AND(E29&lt;&gt;"",E29&gt;D29),"Prix gros plus cher que détail ?",IF(AND(C29&lt;&gt;"",C29&gt;=D29),"Vendu à perte ?",IF(AND(C29&lt;&gt;"",E29&lt;&gt;"",C29&gt;=E29),"Gros vendu à perte ?","")))))</f>
        <v/>
      </c>
    </row>
    <row r="30" customFormat="false" ht="15" hidden="false" customHeight="false" outlineLevel="0" collapsed="false">
      <c r="A30" s="8" t="s">
        <v>30</v>
      </c>
      <c r="B30" s="8" t="s">
        <v>59</v>
      </c>
      <c r="C30" s="9"/>
      <c r="D30" s="9"/>
      <c r="E30" s="9"/>
      <c r="F30" s="9"/>
      <c r="G30" s="10" t="str">
        <f aca="false">IF(B30="","",IF(D30="","Prix détail manquant",IF(AND(E30&lt;&gt;"",E30&gt;D30),"Prix gros plus cher que détail ?",IF(AND(C30&lt;&gt;"",C30&gt;=D30),"Vendu à perte ?",IF(AND(C30&lt;&gt;"",E30&lt;&gt;"",C30&gt;=E30),"Gros vendu à perte ?","")))))</f>
        <v>Prix détail manquant</v>
      </c>
    </row>
    <row r="31" customFormat="false" ht="15" hidden="false" customHeight="false" outlineLevel="0" collapsed="false">
      <c r="A31" s="8" t="s">
        <v>30</v>
      </c>
      <c r="B31" s="8" t="s">
        <v>60</v>
      </c>
      <c r="C31" s="9"/>
      <c r="D31" s="9" t="n">
        <v>3500</v>
      </c>
      <c r="E31" s="9"/>
      <c r="F31" s="9"/>
      <c r="G31" s="10" t="str">
        <f aca="false">IF(B31="","",IF(D31="","Prix détail manquant",IF(AND(E31&lt;&gt;"",E31&gt;D31),"Prix gros plus cher que détail ?",IF(AND(C31&lt;&gt;"",C31&gt;=D31),"Vendu à perte ?",IF(AND(C31&lt;&gt;"",E31&lt;&gt;"",C31&gt;=E31),"Gros vendu à perte ?","")))))</f>
        <v/>
      </c>
    </row>
    <row r="32" customFormat="false" ht="15" hidden="false" customHeight="false" outlineLevel="0" collapsed="false">
      <c r="A32" s="8" t="s">
        <v>30</v>
      </c>
      <c r="B32" s="8" t="s">
        <v>61</v>
      </c>
      <c r="C32" s="9"/>
      <c r="D32" s="9" t="n">
        <v>3500</v>
      </c>
      <c r="E32" s="9"/>
      <c r="F32" s="9"/>
      <c r="G32" s="10" t="str">
        <f aca="false">IF(B32="","",IF(D32="","Prix détail manquant",IF(AND(E32&lt;&gt;"",E32&gt;D32),"Prix gros plus cher que détail ?",IF(AND(C32&lt;&gt;"",C32&gt;=D32),"Vendu à perte ?",IF(AND(C32&lt;&gt;"",E32&lt;&gt;"",C32&gt;=E32),"Gros vendu à perte ?","")))))</f>
        <v/>
      </c>
    </row>
    <row r="33" customFormat="false" ht="15" hidden="false" customHeight="false" outlineLevel="0" collapsed="false">
      <c r="A33" s="8" t="s">
        <v>30</v>
      </c>
      <c r="B33" s="8" t="s">
        <v>62</v>
      </c>
      <c r="C33" s="9"/>
      <c r="D33" s="9" t="n">
        <v>5000</v>
      </c>
      <c r="E33" s="9"/>
      <c r="F33" s="9"/>
      <c r="G33" s="10" t="str">
        <f aca="false">IF(B33="","",IF(D33="","Prix détail manquant",IF(AND(E33&lt;&gt;"",E33&gt;D33),"Prix gros plus cher que détail ?",IF(AND(C33&lt;&gt;"",C33&gt;=D33),"Vendu à perte ?",IF(AND(C33&lt;&gt;"",E33&lt;&gt;"",C33&gt;=E33),"Gros vendu à perte ?","")))))</f>
        <v/>
      </c>
    </row>
    <row r="34" customFormat="false" ht="15" hidden="false" customHeight="false" outlineLevel="0" collapsed="false">
      <c r="A34" s="8" t="s">
        <v>30</v>
      </c>
      <c r="B34" s="8" t="s">
        <v>63</v>
      </c>
      <c r="C34" s="9"/>
      <c r="D34" s="9" t="n">
        <v>3500</v>
      </c>
      <c r="E34" s="9"/>
      <c r="F34" s="9"/>
      <c r="G34" s="10" t="str">
        <f aca="false">IF(B34="","",IF(D34="","Prix détail manquant",IF(AND(E34&lt;&gt;"",E34&gt;D34),"Prix gros plus cher que détail ?",IF(AND(C34&lt;&gt;"",C34&gt;=D34),"Vendu à perte ?",IF(AND(C34&lt;&gt;"",E34&lt;&gt;"",C34&gt;=E34),"Gros vendu à perte ?","")))))</f>
        <v/>
      </c>
    </row>
    <row r="35" customFormat="false" ht="15" hidden="false" customHeight="false" outlineLevel="0" collapsed="false">
      <c r="A35" s="8" t="s">
        <v>30</v>
      </c>
      <c r="B35" s="8" t="s">
        <v>64</v>
      </c>
      <c r="C35" s="9"/>
      <c r="D35" s="9" t="n">
        <v>4000</v>
      </c>
      <c r="E35" s="9"/>
      <c r="F35" s="9"/>
      <c r="G35" s="10" t="str">
        <f aca="false">IF(B35="","",IF(D35="","Prix détail manquant",IF(AND(E35&lt;&gt;"",E35&gt;D35),"Prix gros plus cher que détail ?",IF(AND(C35&lt;&gt;"",C35&gt;=D35),"Vendu à perte ?",IF(AND(C35&lt;&gt;"",E35&lt;&gt;"",C35&gt;=E35),"Gros vendu à perte ?","")))))</f>
        <v/>
      </c>
    </row>
    <row r="36" customFormat="false" ht="15" hidden="false" customHeight="false" outlineLevel="0" collapsed="false">
      <c r="A36" s="8" t="s">
        <v>30</v>
      </c>
      <c r="B36" s="8" t="s">
        <v>65</v>
      </c>
      <c r="C36" s="9"/>
      <c r="D36" s="9" t="n">
        <v>3800</v>
      </c>
      <c r="E36" s="9"/>
      <c r="F36" s="9"/>
      <c r="G36" s="10" t="str">
        <f aca="false">IF(B36="","",IF(D36="","Prix détail manquant",IF(AND(E36&lt;&gt;"",E36&gt;D36),"Prix gros plus cher que détail ?",IF(AND(C36&lt;&gt;"",C36&gt;=D36),"Vendu à perte ?",IF(AND(C36&lt;&gt;"",E36&lt;&gt;"",C36&gt;=E36),"Gros vendu à perte ?","")))))</f>
        <v/>
      </c>
    </row>
    <row r="37" customFormat="false" ht="15" hidden="false" customHeight="false" outlineLevel="0" collapsed="false">
      <c r="A37" s="8" t="s">
        <v>30</v>
      </c>
      <c r="B37" s="8" t="s">
        <v>66</v>
      </c>
      <c r="C37" s="9"/>
      <c r="D37" s="9" t="n">
        <v>3000</v>
      </c>
      <c r="E37" s="9"/>
      <c r="F37" s="9"/>
      <c r="G37" s="10" t="str">
        <f aca="false">IF(B37="","",IF(D37="","Prix détail manquant",IF(AND(E37&lt;&gt;"",E37&gt;D37),"Prix gros plus cher que détail ?",IF(AND(C37&lt;&gt;"",C37&gt;=D37),"Vendu à perte ?",IF(AND(C37&lt;&gt;"",E37&lt;&gt;"",C37&gt;=E37),"Gros vendu à perte ?","")))))</f>
        <v/>
      </c>
    </row>
    <row r="38" customFormat="false" ht="15" hidden="false" customHeight="false" outlineLevel="0" collapsed="false">
      <c r="A38" s="8" t="s">
        <v>30</v>
      </c>
      <c r="B38" s="8" t="s">
        <v>67</v>
      </c>
      <c r="C38" s="9"/>
      <c r="D38" s="9" t="n">
        <v>5000</v>
      </c>
      <c r="E38" s="9"/>
      <c r="F38" s="9"/>
      <c r="G38" s="10" t="str">
        <f aca="false">IF(B38="","",IF(D38="","Prix détail manquant",IF(AND(E38&lt;&gt;"",E38&gt;D38),"Prix gros plus cher que détail ?",IF(AND(C38&lt;&gt;"",C38&gt;=D38),"Vendu à perte ?",IF(AND(C38&lt;&gt;"",E38&lt;&gt;"",C38&gt;=E38),"Gros vendu à perte ?","")))))</f>
        <v/>
      </c>
    </row>
    <row r="39" customFormat="false" ht="15" hidden="false" customHeight="false" outlineLevel="0" collapsed="false">
      <c r="A39" s="8" t="s">
        <v>30</v>
      </c>
      <c r="B39" s="8" t="s">
        <v>68</v>
      </c>
      <c r="C39" s="9"/>
      <c r="D39" s="9" t="n">
        <v>5000</v>
      </c>
      <c r="E39" s="9"/>
      <c r="F39" s="9"/>
      <c r="G39" s="10" t="str">
        <f aca="false">IF(B39="","",IF(D39="","Prix détail manquant",IF(AND(E39&lt;&gt;"",E39&gt;D39),"Prix gros plus cher que détail ?",IF(AND(C39&lt;&gt;"",C39&gt;=D39),"Vendu à perte ?",IF(AND(C39&lt;&gt;"",E39&lt;&gt;"",C39&gt;=E39),"Gros vendu à perte ?","")))))</f>
        <v/>
      </c>
    </row>
    <row r="40" customFormat="false" ht="15" hidden="false" customHeight="false" outlineLevel="0" collapsed="false">
      <c r="A40" s="8" t="s">
        <v>30</v>
      </c>
      <c r="B40" s="8" t="s">
        <v>69</v>
      </c>
      <c r="C40" s="9"/>
      <c r="D40" s="9" t="n">
        <v>2500</v>
      </c>
      <c r="E40" s="9"/>
      <c r="F40" s="9"/>
      <c r="G40" s="10" t="str">
        <f aca="false">IF(B40="","",IF(D40="","Prix détail manquant",IF(AND(E40&lt;&gt;"",E40&gt;D40),"Prix gros plus cher que détail ?",IF(AND(C40&lt;&gt;"",C40&gt;=D40),"Vendu à perte ?",IF(AND(C40&lt;&gt;"",E40&lt;&gt;"",C40&gt;=E40),"Gros vendu à perte ?","")))))</f>
        <v/>
      </c>
    </row>
    <row r="41" customFormat="false" ht="15" hidden="false" customHeight="false" outlineLevel="0" collapsed="false">
      <c r="A41" s="8" t="s">
        <v>30</v>
      </c>
      <c r="B41" s="8" t="s">
        <v>70</v>
      </c>
      <c r="C41" s="9"/>
      <c r="D41" s="9" t="n">
        <v>1800</v>
      </c>
      <c r="E41" s="9"/>
      <c r="F41" s="9"/>
      <c r="G41" s="10" t="str">
        <f aca="false">IF(B41="","",IF(D41="","Prix détail manquant",IF(AND(E41&lt;&gt;"",E41&gt;D41),"Prix gros plus cher que détail ?",IF(AND(C41&lt;&gt;"",C41&gt;=D41),"Vendu à perte ?",IF(AND(C41&lt;&gt;"",E41&lt;&gt;"",C41&gt;=E41),"Gros vendu à perte ?","")))))</f>
        <v/>
      </c>
    </row>
    <row r="42" customFormat="false" ht="15" hidden="false" customHeight="false" outlineLevel="0" collapsed="false">
      <c r="A42" s="8" t="s">
        <v>30</v>
      </c>
      <c r="B42" s="8" t="s">
        <v>71</v>
      </c>
      <c r="C42" s="9"/>
      <c r="D42" s="9" t="n">
        <v>4500</v>
      </c>
      <c r="E42" s="9"/>
      <c r="F42" s="9"/>
      <c r="G42" s="10" t="str">
        <f aca="false">IF(B42="","",IF(D42="","Prix détail manquant",IF(AND(E42&lt;&gt;"",E42&gt;D42),"Prix gros plus cher que détail ?",IF(AND(C42&lt;&gt;"",C42&gt;=D42),"Vendu à perte ?",IF(AND(C42&lt;&gt;"",E42&lt;&gt;"",C42&gt;=E42),"Gros vendu à perte ?","")))))</f>
        <v/>
      </c>
    </row>
    <row r="43" customFormat="false" ht="15" hidden="false" customHeight="false" outlineLevel="0" collapsed="false">
      <c r="A43" s="8" t="s">
        <v>30</v>
      </c>
      <c r="B43" s="8" t="s">
        <v>72</v>
      </c>
      <c r="C43" s="9"/>
      <c r="D43" s="9" t="n">
        <v>5000</v>
      </c>
      <c r="E43" s="9"/>
      <c r="F43" s="9"/>
      <c r="G43" s="10" t="str">
        <f aca="false">IF(B43="","",IF(D43="","Prix détail manquant",IF(AND(E43&lt;&gt;"",E43&gt;D43),"Prix gros plus cher que détail ?",IF(AND(C43&lt;&gt;"",C43&gt;=D43),"Vendu à perte ?",IF(AND(C43&lt;&gt;"",E43&lt;&gt;"",C43&gt;=E43),"Gros vendu à perte ?","")))))</f>
        <v/>
      </c>
    </row>
    <row r="44" customFormat="false" ht="15" hidden="false" customHeight="false" outlineLevel="0" collapsed="false">
      <c r="A44" s="8" t="s">
        <v>30</v>
      </c>
      <c r="B44" s="8" t="s">
        <v>73</v>
      </c>
      <c r="C44" s="9"/>
      <c r="D44" s="9"/>
      <c r="E44" s="9"/>
      <c r="F44" s="9"/>
      <c r="G44" s="10" t="str">
        <f aca="false">IF(B44="","",IF(D44="","Prix détail manquant",IF(AND(E44&lt;&gt;"",E44&gt;D44),"Prix gros plus cher que détail ?",IF(AND(C44&lt;&gt;"",C44&gt;=D44),"Vendu à perte ?",IF(AND(C44&lt;&gt;"",E44&lt;&gt;"",C44&gt;=E44),"Gros vendu à perte ?","")))))</f>
        <v>Prix détail manquant</v>
      </c>
    </row>
    <row r="45" customFormat="false" ht="15" hidden="false" customHeight="false" outlineLevel="0" collapsed="false">
      <c r="A45" s="8" t="s">
        <v>30</v>
      </c>
      <c r="B45" s="8" t="s">
        <v>74</v>
      </c>
      <c r="C45" s="9"/>
      <c r="D45" s="9" t="n">
        <v>3800</v>
      </c>
      <c r="E45" s="9"/>
      <c r="F45" s="9"/>
      <c r="G45" s="10" t="str">
        <f aca="false">IF(B45="","",IF(D45="","Prix détail manquant",IF(AND(E45&lt;&gt;"",E45&gt;D45),"Prix gros plus cher que détail ?",IF(AND(C45&lt;&gt;"",C45&gt;=D45),"Vendu à perte ?",IF(AND(C45&lt;&gt;"",E45&lt;&gt;"",C45&gt;=E45),"Gros vendu à perte ?","")))))</f>
        <v/>
      </c>
    </row>
    <row r="46" customFormat="false" ht="15" hidden="false" customHeight="false" outlineLevel="0" collapsed="false">
      <c r="A46" s="8" t="s">
        <v>30</v>
      </c>
      <c r="B46" s="8" t="s">
        <v>75</v>
      </c>
      <c r="C46" s="9"/>
      <c r="D46" s="9" t="n">
        <v>4800</v>
      </c>
      <c r="E46" s="9"/>
      <c r="F46" s="9"/>
      <c r="G46" s="10" t="str">
        <f aca="false">IF(B46="","",IF(D46="","Prix détail manquant",IF(AND(E46&lt;&gt;"",E46&gt;D46),"Prix gros plus cher que détail ?",IF(AND(C46&lt;&gt;"",C46&gt;=D46),"Vendu à perte ?",IF(AND(C46&lt;&gt;"",E46&lt;&gt;"",C46&gt;=E46),"Gros vendu à perte ?","")))))</f>
        <v/>
      </c>
    </row>
    <row r="47" customFormat="false" ht="15" hidden="false" customHeight="false" outlineLevel="0" collapsed="false">
      <c r="A47" s="8" t="s">
        <v>30</v>
      </c>
      <c r="B47" s="8" t="s">
        <v>76</v>
      </c>
      <c r="C47" s="9"/>
      <c r="D47" s="9" t="n">
        <v>4000</v>
      </c>
      <c r="E47" s="9"/>
      <c r="F47" s="9"/>
      <c r="G47" s="10" t="str">
        <f aca="false">IF(B47="","",IF(D47="","Prix détail manquant",IF(AND(E47&lt;&gt;"",E47&gt;D47),"Prix gros plus cher que détail ?",IF(AND(C47&lt;&gt;"",C47&gt;=D47),"Vendu à perte ?",IF(AND(C47&lt;&gt;"",E47&lt;&gt;"",C47&gt;=E47),"Gros vendu à perte ?","")))))</f>
        <v/>
      </c>
    </row>
    <row r="48" customFormat="false" ht="15" hidden="false" customHeight="false" outlineLevel="0" collapsed="false">
      <c r="A48" s="8" t="s">
        <v>30</v>
      </c>
      <c r="B48" s="8" t="s">
        <v>77</v>
      </c>
      <c r="C48" s="9"/>
      <c r="D48" s="9" t="n">
        <v>3500</v>
      </c>
      <c r="E48" s="9"/>
      <c r="F48" s="9"/>
      <c r="G48" s="10" t="str">
        <f aca="false">IF(B48="","",IF(D48="","Prix détail manquant",IF(AND(E48&lt;&gt;"",E48&gt;D48),"Prix gros plus cher que détail ?",IF(AND(C48&lt;&gt;"",C48&gt;=D48),"Vendu à perte ?",IF(AND(C48&lt;&gt;"",E48&lt;&gt;"",C48&gt;=E48),"Gros vendu à perte ?","")))))</f>
        <v/>
      </c>
    </row>
    <row r="49" customFormat="false" ht="15" hidden="false" customHeight="false" outlineLevel="0" collapsed="false">
      <c r="A49" s="8" t="s">
        <v>30</v>
      </c>
      <c r="B49" s="8" t="s">
        <v>78</v>
      </c>
      <c r="C49" s="9"/>
      <c r="D49" s="9" t="n">
        <v>3500</v>
      </c>
      <c r="E49" s="9"/>
      <c r="F49" s="9"/>
      <c r="G49" s="10" t="str">
        <f aca="false">IF(B49="","",IF(D49="","Prix détail manquant",IF(AND(E49&lt;&gt;"",E49&gt;D49),"Prix gros plus cher que détail ?",IF(AND(C49&lt;&gt;"",C49&gt;=D49),"Vendu à perte ?",IF(AND(C49&lt;&gt;"",E49&lt;&gt;"",C49&gt;=E49),"Gros vendu à perte ?","")))))</f>
        <v/>
      </c>
    </row>
    <row r="50" customFormat="false" ht="15" hidden="false" customHeight="false" outlineLevel="0" collapsed="false">
      <c r="A50" s="8" t="s">
        <v>30</v>
      </c>
      <c r="B50" s="8" t="s">
        <v>79</v>
      </c>
      <c r="C50" s="9"/>
      <c r="D50" s="9" t="n">
        <v>1670</v>
      </c>
      <c r="E50" s="9"/>
      <c r="F50" s="9"/>
      <c r="G50" s="10" t="str">
        <f aca="false">IF(B50="","",IF(D50="","Prix détail manquant",IF(AND(E50&lt;&gt;"",E50&gt;D50),"Prix gros plus cher que détail ?",IF(AND(C50&lt;&gt;"",C50&gt;=D50),"Vendu à perte ?",IF(AND(C50&lt;&gt;"",E50&lt;&gt;"",C50&gt;=E50),"Gros vendu à perte ?","")))))</f>
        <v/>
      </c>
    </row>
    <row r="51" customFormat="false" ht="15" hidden="false" customHeight="false" outlineLevel="0" collapsed="false">
      <c r="A51" s="8" t="s">
        <v>30</v>
      </c>
      <c r="B51" s="8" t="s">
        <v>80</v>
      </c>
      <c r="C51" s="9"/>
      <c r="D51" s="9" t="n">
        <v>1500</v>
      </c>
      <c r="E51" s="9"/>
      <c r="F51" s="9"/>
      <c r="G51" s="10" t="str">
        <f aca="false">IF(B51="","",IF(D51="","Prix détail manquant",IF(AND(E51&lt;&gt;"",E51&gt;D51),"Prix gros plus cher que détail ?",IF(AND(C51&lt;&gt;"",C51&gt;=D51),"Vendu à perte ?",IF(AND(C51&lt;&gt;"",E51&lt;&gt;"",C51&gt;=E51),"Gros vendu à perte ?","")))))</f>
        <v/>
      </c>
    </row>
    <row r="52" customFormat="false" ht="15" hidden="false" customHeight="false" outlineLevel="0" collapsed="false">
      <c r="A52" s="8" t="s">
        <v>30</v>
      </c>
      <c r="B52" s="8" t="s">
        <v>81</v>
      </c>
      <c r="C52" s="9"/>
      <c r="D52" s="9" t="n">
        <v>2000</v>
      </c>
      <c r="E52" s="9"/>
      <c r="F52" s="9"/>
      <c r="G52" s="10" t="str">
        <f aca="false">IF(B52="","",IF(D52="","Prix détail manquant",IF(AND(E52&lt;&gt;"",E52&gt;D52),"Prix gros plus cher que détail ?",IF(AND(C52&lt;&gt;"",C52&gt;=D52),"Vendu à perte ?",IF(AND(C52&lt;&gt;"",E52&lt;&gt;"",C52&gt;=E52),"Gros vendu à perte ?","")))))</f>
        <v/>
      </c>
    </row>
    <row r="53" customFormat="false" ht="15" hidden="false" customHeight="false" outlineLevel="0" collapsed="false">
      <c r="A53" s="8" t="s">
        <v>30</v>
      </c>
      <c r="B53" s="8" t="s">
        <v>82</v>
      </c>
      <c r="C53" s="9"/>
      <c r="D53" s="9" t="n">
        <v>2500</v>
      </c>
      <c r="E53" s="9"/>
      <c r="F53" s="9"/>
      <c r="G53" s="10" t="str">
        <f aca="false">IF(B53="","",IF(D53="","Prix détail manquant",IF(AND(E53&lt;&gt;"",E53&gt;D53),"Prix gros plus cher que détail ?",IF(AND(C53&lt;&gt;"",C53&gt;=D53),"Vendu à perte ?",IF(AND(C53&lt;&gt;"",E53&lt;&gt;"",C53&gt;=E53),"Gros vendu à perte ?","")))))</f>
        <v/>
      </c>
    </row>
    <row r="54" customFormat="false" ht="15" hidden="false" customHeight="false" outlineLevel="0" collapsed="false">
      <c r="A54" s="8" t="s">
        <v>30</v>
      </c>
      <c r="B54" s="8" t="s">
        <v>83</v>
      </c>
      <c r="C54" s="9"/>
      <c r="D54" s="9" t="n">
        <v>1800</v>
      </c>
      <c r="E54" s="9"/>
      <c r="F54" s="9"/>
      <c r="G54" s="10" t="str">
        <f aca="false">IF(B54="","",IF(D54="","Prix détail manquant",IF(AND(E54&lt;&gt;"",E54&gt;D54),"Prix gros plus cher que détail ?",IF(AND(C54&lt;&gt;"",C54&gt;=D54),"Vendu à perte ?",IF(AND(C54&lt;&gt;"",E54&lt;&gt;"",C54&gt;=E54),"Gros vendu à perte ?","")))))</f>
        <v/>
      </c>
    </row>
    <row r="55" customFormat="false" ht="15" hidden="false" customHeight="false" outlineLevel="0" collapsed="false">
      <c r="A55" s="8" t="s">
        <v>30</v>
      </c>
      <c r="B55" s="8" t="s">
        <v>84</v>
      </c>
      <c r="C55" s="9"/>
      <c r="D55" s="9" t="n">
        <v>4000</v>
      </c>
      <c r="E55" s="9"/>
      <c r="F55" s="9"/>
      <c r="G55" s="10" t="str">
        <f aca="false">IF(B55="","",IF(D55="","Prix détail manquant",IF(AND(E55&lt;&gt;"",E55&gt;D55),"Prix gros plus cher que détail ?",IF(AND(C55&lt;&gt;"",C55&gt;=D55),"Vendu à perte ?",IF(AND(C55&lt;&gt;"",E55&lt;&gt;"",C55&gt;=E55),"Gros vendu à perte ?","")))))</f>
        <v/>
      </c>
    </row>
    <row r="56" customFormat="false" ht="15" hidden="false" customHeight="false" outlineLevel="0" collapsed="false">
      <c r="A56" s="8" t="s">
        <v>30</v>
      </c>
      <c r="B56" s="8" t="s">
        <v>85</v>
      </c>
      <c r="C56" s="9"/>
      <c r="D56" s="9" t="n">
        <v>3500</v>
      </c>
      <c r="E56" s="9"/>
      <c r="F56" s="9"/>
      <c r="G56" s="10" t="str">
        <f aca="false">IF(B56="","",IF(D56="","Prix détail manquant",IF(AND(E56&lt;&gt;"",E56&gt;D56),"Prix gros plus cher que détail ?",IF(AND(C56&lt;&gt;"",C56&gt;=D56),"Vendu à perte ?",IF(AND(C56&lt;&gt;"",E56&lt;&gt;"",C56&gt;=E56),"Gros vendu à perte ?","")))))</f>
        <v/>
      </c>
    </row>
    <row r="57" customFormat="false" ht="15" hidden="false" customHeight="false" outlineLevel="0" collapsed="false">
      <c r="A57" s="8" t="s">
        <v>30</v>
      </c>
      <c r="B57" s="8" t="s">
        <v>86</v>
      </c>
      <c r="C57" s="9"/>
      <c r="D57" s="9" t="n">
        <v>2700</v>
      </c>
      <c r="E57" s="9"/>
      <c r="F57" s="9"/>
      <c r="G57" s="10" t="str">
        <f aca="false">IF(B57="","",IF(D57="","Prix détail manquant",IF(AND(E57&lt;&gt;"",E57&gt;D57),"Prix gros plus cher que détail ?",IF(AND(C57&lt;&gt;"",C57&gt;=D57),"Vendu à perte ?",IF(AND(C57&lt;&gt;"",E57&lt;&gt;"",C57&gt;=E57),"Gros vendu à perte ?","")))))</f>
        <v/>
      </c>
    </row>
    <row r="58" customFormat="false" ht="15" hidden="false" customHeight="false" outlineLevel="0" collapsed="false">
      <c r="A58" s="8" t="s">
        <v>30</v>
      </c>
      <c r="B58" s="8" t="s">
        <v>87</v>
      </c>
      <c r="C58" s="9"/>
      <c r="D58" s="9" t="n">
        <v>6500</v>
      </c>
      <c r="E58" s="9"/>
      <c r="F58" s="9"/>
      <c r="G58" s="10" t="str">
        <f aca="false">IF(B58="","",IF(D58="","Prix détail manquant",IF(AND(E58&lt;&gt;"",E58&gt;D58),"Prix gros plus cher que détail ?",IF(AND(C58&lt;&gt;"",C58&gt;=D58),"Vendu à perte ?",IF(AND(C58&lt;&gt;"",E58&lt;&gt;"",C58&gt;=E58),"Gros vendu à perte ?","")))))</f>
        <v/>
      </c>
    </row>
    <row r="59" customFormat="false" ht="15" hidden="false" customHeight="false" outlineLevel="0" collapsed="false">
      <c r="A59" s="8" t="s">
        <v>30</v>
      </c>
      <c r="B59" s="8" t="s">
        <v>88</v>
      </c>
      <c r="C59" s="9"/>
      <c r="D59" s="9" t="n">
        <v>3000</v>
      </c>
      <c r="E59" s="9"/>
      <c r="F59" s="9"/>
      <c r="G59" s="10" t="str">
        <f aca="false">IF(B59="","",IF(D59="","Prix détail manquant",IF(AND(E59&lt;&gt;"",E59&gt;D59),"Prix gros plus cher que détail ?",IF(AND(C59&lt;&gt;"",C59&gt;=D59),"Vendu à perte ?",IF(AND(C59&lt;&gt;"",E59&lt;&gt;"",C59&gt;=E59),"Gros vendu à perte ?","")))))</f>
        <v/>
      </c>
    </row>
    <row r="60" customFormat="false" ht="15" hidden="false" customHeight="false" outlineLevel="0" collapsed="false">
      <c r="A60" s="8" t="s">
        <v>30</v>
      </c>
      <c r="B60" s="8" t="s">
        <v>89</v>
      </c>
      <c r="C60" s="9"/>
      <c r="D60" s="9" t="n">
        <v>4000</v>
      </c>
      <c r="E60" s="9"/>
      <c r="F60" s="9"/>
      <c r="G60" s="10" t="str">
        <f aca="false">IF(B60="","",IF(D60="","Prix détail manquant",IF(AND(E60&lt;&gt;"",E60&gt;D60),"Prix gros plus cher que détail ?",IF(AND(C60&lt;&gt;"",C60&gt;=D60),"Vendu à perte ?",IF(AND(C60&lt;&gt;"",E60&lt;&gt;"",C60&gt;=E60),"Gros vendu à perte ?","")))))</f>
        <v/>
      </c>
    </row>
    <row r="61" customFormat="false" ht="15" hidden="false" customHeight="false" outlineLevel="0" collapsed="false">
      <c r="A61" s="8" t="s">
        <v>30</v>
      </c>
      <c r="B61" s="8" t="s">
        <v>90</v>
      </c>
      <c r="C61" s="9"/>
      <c r="D61" s="9" t="n">
        <v>335</v>
      </c>
      <c r="E61" s="9"/>
      <c r="F61" s="9"/>
      <c r="G61" s="10" t="str">
        <f aca="false">IF(B61="","",IF(D61="","Prix détail manquant",IF(AND(E61&lt;&gt;"",E61&gt;D61),"Prix gros plus cher que détail ?",IF(AND(C61&lt;&gt;"",C61&gt;=D61),"Vendu à perte ?",IF(AND(C61&lt;&gt;"",E61&lt;&gt;"",C61&gt;=E61),"Gros vendu à perte ?","")))))</f>
        <v/>
      </c>
    </row>
    <row r="62" customFormat="false" ht="15" hidden="false" customHeight="false" outlineLevel="0" collapsed="false">
      <c r="A62" s="8" t="s">
        <v>30</v>
      </c>
      <c r="B62" s="8" t="s">
        <v>91</v>
      </c>
      <c r="C62" s="9"/>
      <c r="D62" s="9" t="n">
        <v>7500</v>
      </c>
      <c r="E62" s="9"/>
      <c r="F62" s="9"/>
      <c r="G62" s="10" t="str">
        <f aca="false">IF(B62="","",IF(D62="","Prix détail manquant",IF(AND(E62&lt;&gt;"",E62&gt;D62),"Prix gros plus cher que détail ?",IF(AND(C62&lt;&gt;"",C62&gt;=D62),"Vendu à perte ?",IF(AND(C62&lt;&gt;"",E62&lt;&gt;"",C62&gt;=E62),"Gros vendu à perte ?","")))))</f>
        <v/>
      </c>
    </row>
    <row r="63" customFormat="false" ht="15" hidden="false" customHeight="false" outlineLevel="0" collapsed="false">
      <c r="A63" s="8" t="s">
        <v>30</v>
      </c>
      <c r="B63" s="8" t="s">
        <v>92</v>
      </c>
      <c r="C63" s="9"/>
      <c r="D63" s="9" t="n">
        <v>4000</v>
      </c>
      <c r="E63" s="9"/>
      <c r="F63" s="9"/>
      <c r="G63" s="10" t="str">
        <f aca="false">IF(B63="","",IF(D63="","Prix détail manquant",IF(AND(E63&lt;&gt;"",E63&gt;D63),"Prix gros plus cher que détail ?",IF(AND(C63&lt;&gt;"",C63&gt;=D63),"Vendu à perte ?",IF(AND(C63&lt;&gt;"",E63&lt;&gt;"",C63&gt;=E63),"Gros vendu à perte ?","")))))</f>
        <v/>
      </c>
    </row>
    <row r="64" customFormat="false" ht="15" hidden="false" customHeight="false" outlineLevel="0" collapsed="false">
      <c r="A64" s="8" t="s">
        <v>30</v>
      </c>
      <c r="B64" s="8" t="s">
        <v>93</v>
      </c>
      <c r="C64" s="9"/>
      <c r="D64" s="9" t="n">
        <v>1500</v>
      </c>
      <c r="E64" s="9"/>
      <c r="F64" s="9"/>
      <c r="G64" s="10" t="str">
        <f aca="false">IF(B64="","",IF(D64="","Prix détail manquant",IF(AND(E64&lt;&gt;"",E64&gt;D64),"Prix gros plus cher que détail ?",IF(AND(C64&lt;&gt;"",C64&gt;=D64),"Vendu à perte ?",IF(AND(C64&lt;&gt;"",E64&lt;&gt;"",C64&gt;=E64),"Gros vendu à perte ?","")))))</f>
        <v/>
      </c>
    </row>
    <row r="65" customFormat="false" ht="15" hidden="false" customHeight="false" outlineLevel="0" collapsed="false">
      <c r="A65" s="8" t="s">
        <v>30</v>
      </c>
      <c r="B65" s="8" t="s">
        <v>94</v>
      </c>
      <c r="C65" s="9"/>
      <c r="D65" s="9" t="n">
        <v>2500</v>
      </c>
      <c r="E65" s="9"/>
      <c r="F65" s="9"/>
      <c r="G65" s="10" t="str">
        <f aca="false">IF(B65="","",IF(D65="","Prix détail manquant",IF(AND(E65&lt;&gt;"",E65&gt;D65),"Prix gros plus cher que détail ?",IF(AND(C65&lt;&gt;"",C65&gt;=D65),"Vendu à perte ?",IF(AND(C65&lt;&gt;"",E65&lt;&gt;"",C65&gt;=E65),"Gros vendu à perte ?","")))))</f>
        <v/>
      </c>
    </row>
    <row r="66" customFormat="false" ht="15" hidden="false" customHeight="false" outlineLevel="0" collapsed="false">
      <c r="A66" s="8" t="s">
        <v>30</v>
      </c>
      <c r="B66" s="8" t="s">
        <v>95</v>
      </c>
      <c r="C66" s="9"/>
      <c r="D66" s="9" t="n">
        <v>6500</v>
      </c>
      <c r="E66" s="9"/>
      <c r="F66" s="9"/>
      <c r="G66" s="10" t="str">
        <f aca="false">IF(B66="","",IF(D66="","Prix détail manquant",IF(AND(E66&lt;&gt;"",E66&gt;D66),"Prix gros plus cher que détail ?",IF(AND(C66&lt;&gt;"",C66&gt;=D66),"Vendu à perte ?",IF(AND(C66&lt;&gt;"",E66&lt;&gt;"",C66&gt;=E66),"Gros vendu à perte ?","")))))</f>
        <v/>
      </c>
    </row>
    <row r="67" customFormat="false" ht="15" hidden="false" customHeight="false" outlineLevel="0" collapsed="false">
      <c r="A67" s="8" t="s">
        <v>30</v>
      </c>
      <c r="B67" s="8" t="s">
        <v>96</v>
      </c>
      <c r="C67" s="9"/>
      <c r="D67" s="9" t="n">
        <v>2500</v>
      </c>
      <c r="E67" s="9"/>
      <c r="F67" s="9"/>
      <c r="G67" s="10" t="str">
        <f aca="false">IF(B67="","",IF(D67="","Prix détail manquant",IF(AND(E67&lt;&gt;"",E67&gt;D67),"Prix gros plus cher que détail ?",IF(AND(C67&lt;&gt;"",C67&gt;=D67),"Vendu à perte ?",IF(AND(C67&lt;&gt;"",E67&lt;&gt;"",C67&gt;=E67),"Gros vendu à perte ?","")))))</f>
        <v/>
      </c>
    </row>
    <row r="68" customFormat="false" ht="15" hidden="false" customHeight="false" outlineLevel="0" collapsed="false">
      <c r="A68" s="8" t="s">
        <v>30</v>
      </c>
      <c r="B68" s="8" t="s">
        <v>97</v>
      </c>
      <c r="C68" s="9"/>
      <c r="D68" s="9" t="n">
        <v>1500</v>
      </c>
      <c r="E68" s="9"/>
      <c r="F68" s="9"/>
      <c r="G68" s="10" t="str">
        <f aca="false">IF(B68="","",IF(D68="","Prix détail manquant",IF(AND(E68&lt;&gt;"",E68&gt;D68),"Prix gros plus cher que détail ?",IF(AND(C68&lt;&gt;"",C68&gt;=D68),"Vendu à perte ?",IF(AND(C68&lt;&gt;"",E68&lt;&gt;"",C68&gt;=E68),"Gros vendu à perte ?","")))))</f>
        <v/>
      </c>
    </row>
    <row r="69" customFormat="false" ht="15" hidden="false" customHeight="false" outlineLevel="0" collapsed="false">
      <c r="A69" s="8" t="s">
        <v>30</v>
      </c>
      <c r="B69" s="8" t="s">
        <v>98</v>
      </c>
      <c r="C69" s="9"/>
      <c r="D69" s="9" t="n">
        <v>1666</v>
      </c>
      <c r="E69" s="9"/>
      <c r="F69" s="9"/>
      <c r="G69" s="10" t="str">
        <f aca="false">IF(B69="","",IF(D69="","Prix détail manquant",IF(AND(E69&lt;&gt;"",E69&gt;D69),"Prix gros plus cher que détail ?",IF(AND(C69&lt;&gt;"",C69&gt;=D69),"Vendu à perte ?",IF(AND(C69&lt;&gt;"",E69&lt;&gt;"",C69&gt;=E69),"Gros vendu à perte ?","")))))</f>
        <v/>
      </c>
    </row>
    <row r="70" customFormat="false" ht="15" hidden="false" customHeight="false" outlineLevel="0" collapsed="false">
      <c r="A70" s="8" t="s">
        <v>30</v>
      </c>
      <c r="B70" s="8" t="s">
        <v>99</v>
      </c>
      <c r="C70" s="9"/>
      <c r="D70" s="9" t="n">
        <v>3500</v>
      </c>
      <c r="E70" s="9"/>
      <c r="F70" s="9"/>
      <c r="G70" s="10" t="str">
        <f aca="false">IF(B70="","",IF(D70="","Prix détail manquant",IF(AND(E70&lt;&gt;"",E70&gt;D70),"Prix gros plus cher que détail ?",IF(AND(C70&lt;&gt;"",C70&gt;=D70),"Vendu à perte ?",IF(AND(C70&lt;&gt;"",E70&lt;&gt;"",C70&gt;=E70),"Gros vendu à perte ?","")))))</f>
        <v/>
      </c>
    </row>
    <row r="71" customFormat="false" ht="15" hidden="false" customHeight="false" outlineLevel="0" collapsed="false">
      <c r="A71" s="8" t="s">
        <v>30</v>
      </c>
      <c r="B71" s="8" t="s">
        <v>100</v>
      </c>
      <c r="C71" s="9"/>
      <c r="D71" s="9" t="n">
        <v>3500</v>
      </c>
      <c r="E71" s="9"/>
      <c r="F71" s="9"/>
      <c r="G71" s="10" t="str">
        <f aca="false">IF(B71="","",IF(D71="","Prix détail manquant",IF(AND(E71&lt;&gt;"",E71&gt;D71),"Prix gros plus cher que détail ?",IF(AND(C71&lt;&gt;"",C71&gt;=D71),"Vendu à perte ?",IF(AND(C71&lt;&gt;"",E71&lt;&gt;"",C71&gt;=E71),"Gros vendu à perte ?","")))))</f>
        <v/>
      </c>
    </row>
    <row r="72" customFormat="false" ht="15" hidden="false" customHeight="false" outlineLevel="0" collapsed="false">
      <c r="A72" s="8" t="s">
        <v>30</v>
      </c>
      <c r="B72" s="8" t="s">
        <v>101</v>
      </c>
      <c r="C72" s="9"/>
      <c r="D72" s="9" t="n">
        <v>1335</v>
      </c>
      <c r="E72" s="9"/>
      <c r="F72" s="9"/>
      <c r="G72" s="10" t="str">
        <f aca="false">IF(B72="","",IF(D72="","Prix détail manquant",IF(AND(E72&lt;&gt;"",E72&gt;D72),"Prix gros plus cher que détail ?",IF(AND(C72&lt;&gt;"",C72&gt;=D72),"Vendu à perte ?",IF(AND(C72&lt;&gt;"",E72&lt;&gt;"",C72&gt;=E72),"Gros vendu à perte ?","")))))</f>
        <v/>
      </c>
    </row>
    <row r="73" customFormat="false" ht="15" hidden="false" customHeight="false" outlineLevel="0" collapsed="false">
      <c r="A73" s="8" t="s">
        <v>30</v>
      </c>
      <c r="B73" s="8" t="s">
        <v>102</v>
      </c>
      <c r="C73" s="9"/>
      <c r="D73" s="9" t="n">
        <v>1000</v>
      </c>
      <c r="E73" s="9"/>
      <c r="F73" s="9"/>
      <c r="G73" s="10" t="str">
        <f aca="false">IF(B73="","",IF(D73="","Prix détail manquant",IF(AND(E73&lt;&gt;"",E73&gt;D73),"Prix gros plus cher que détail ?",IF(AND(C73&lt;&gt;"",C73&gt;=D73),"Vendu à perte ?",IF(AND(C73&lt;&gt;"",E73&lt;&gt;"",C73&gt;=E73),"Gros vendu à perte ?","")))))</f>
        <v/>
      </c>
    </row>
    <row r="74" customFormat="false" ht="15" hidden="false" customHeight="false" outlineLevel="0" collapsed="false">
      <c r="A74" s="8" t="s">
        <v>30</v>
      </c>
      <c r="B74" s="8" t="s">
        <v>103</v>
      </c>
      <c r="C74" s="9"/>
      <c r="D74" s="9" t="n">
        <v>933</v>
      </c>
      <c r="E74" s="9"/>
      <c r="F74" s="9"/>
      <c r="G74" s="10" t="str">
        <f aca="false">IF(B74="","",IF(D74="","Prix détail manquant",IF(AND(E74&lt;&gt;"",E74&gt;D74),"Prix gros plus cher que détail ?",IF(AND(C74&lt;&gt;"",C74&gt;=D74),"Vendu à perte ?",IF(AND(C74&lt;&gt;"",E74&lt;&gt;"",C74&gt;=E74),"Gros vendu à perte ?","")))))</f>
        <v/>
      </c>
    </row>
    <row r="75" customFormat="false" ht="15" hidden="false" customHeight="false" outlineLevel="0" collapsed="false">
      <c r="A75" s="8" t="s">
        <v>30</v>
      </c>
      <c r="B75" s="8" t="s">
        <v>104</v>
      </c>
      <c r="C75" s="9"/>
      <c r="D75" s="9" t="n">
        <v>3800</v>
      </c>
      <c r="E75" s="9"/>
      <c r="F75" s="9"/>
      <c r="G75" s="10" t="str">
        <f aca="false">IF(B75="","",IF(D75="","Prix détail manquant",IF(AND(E75&lt;&gt;"",E75&gt;D75),"Prix gros plus cher que détail ?",IF(AND(C75&lt;&gt;"",C75&gt;=D75),"Vendu à perte ?",IF(AND(C75&lt;&gt;"",E75&lt;&gt;"",C75&gt;=E75),"Gros vendu à perte ?","")))))</f>
        <v/>
      </c>
    </row>
    <row r="76" customFormat="false" ht="15" hidden="false" customHeight="false" outlineLevel="0" collapsed="false">
      <c r="A76" s="8" t="s">
        <v>30</v>
      </c>
      <c r="B76" s="8" t="s">
        <v>105</v>
      </c>
      <c r="C76" s="9"/>
      <c r="D76" s="9" t="n">
        <v>2500</v>
      </c>
      <c r="E76" s="9"/>
      <c r="F76" s="9"/>
      <c r="G76" s="10" t="str">
        <f aca="false">IF(B76="","",IF(D76="","Prix détail manquant",IF(AND(E76&lt;&gt;"",E76&gt;D76),"Prix gros plus cher que détail ?",IF(AND(C76&lt;&gt;"",C76&gt;=D76),"Vendu à perte ?",IF(AND(C76&lt;&gt;"",E76&lt;&gt;"",C76&gt;=E76),"Gros vendu à perte ?","")))))</f>
        <v/>
      </c>
    </row>
    <row r="77" customFormat="false" ht="15" hidden="false" customHeight="false" outlineLevel="0" collapsed="false">
      <c r="A77" s="8" t="s">
        <v>30</v>
      </c>
      <c r="B77" s="8" t="s">
        <v>106</v>
      </c>
      <c r="C77" s="9"/>
      <c r="D77" s="9" t="n">
        <v>6000</v>
      </c>
      <c r="E77" s="9"/>
      <c r="F77" s="9"/>
      <c r="G77" s="10" t="str">
        <f aca="false">IF(B77="","",IF(D77="","Prix détail manquant",IF(AND(E77&lt;&gt;"",E77&gt;D77),"Prix gros plus cher que détail ?",IF(AND(C77&lt;&gt;"",C77&gt;=D77),"Vendu à perte ?",IF(AND(C77&lt;&gt;"",E77&lt;&gt;"",C77&gt;=E77),"Gros vendu à perte ?","")))))</f>
        <v/>
      </c>
    </row>
    <row r="78" customFormat="false" ht="15" hidden="false" customHeight="false" outlineLevel="0" collapsed="false">
      <c r="A78" s="8" t="s">
        <v>30</v>
      </c>
      <c r="B78" s="8" t="s">
        <v>107</v>
      </c>
      <c r="C78" s="9"/>
      <c r="D78" s="9" t="n">
        <v>2000</v>
      </c>
      <c r="E78" s="9"/>
      <c r="F78" s="9"/>
      <c r="G78" s="10" t="str">
        <f aca="false">IF(B78="","",IF(D78="","Prix détail manquant",IF(AND(E78&lt;&gt;"",E78&gt;D78),"Prix gros plus cher que détail ?",IF(AND(C78&lt;&gt;"",C78&gt;=D78),"Vendu à perte ?",IF(AND(C78&lt;&gt;"",E78&lt;&gt;"",C78&gt;=E78),"Gros vendu à perte ?","")))))</f>
        <v/>
      </c>
    </row>
    <row r="79" customFormat="false" ht="15" hidden="false" customHeight="false" outlineLevel="0" collapsed="false">
      <c r="A79" s="8" t="s">
        <v>30</v>
      </c>
      <c r="B79" s="8" t="s">
        <v>108</v>
      </c>
      <c r="C79" s="9"/>
      <c r="D79" s="9" t="n">
        <v>4000</v>
      </c>
      <c r="E79" s="9"/>
      <c r="F79" s="9"/>
      <c r="G79" s="10" t="str">
        <f aca="false">IF(B79="","",IF(D79="","Prix détail manquant",IF(AND(E79&lt;&gt;"",E79&gt;D79),"Prix gros plus cher que détail ?",IF(AND(C79&lt;&gt;"",C79&gt;=D79),"Vendu à perte ?",IF(AND(C79&lt;&gt;"",E79&lt;&gt;"",C79&gt;=E79),"Gros vendu à perte ?","")))))</f>
        <v/>
      </c>
    </row>
    <row r="80" customFormat="false" ht="15" hidden="false" customHeight="false" outlineLevel="0" collapsed="false">
      <c r="A80" s="8" t="s">
        <v>30</v>
      </c>
      <c r="B80" s="8" t="s">
        <v>109</v>
      </c>
      <c r="C80" s="9"/>
      <c r="D80" s="9" t="n">
        <v>4000</v>
      </c>
      <c r="E80" s="9"/>
      <c r="F80" s="9"/>
      <c r="G80" s="10" t="str">
        <f aca="false">IF(B80="","",IF(D80="","Prix détail manquant",IF(AND(E80&lt;&gt;"",E80&gt;D80),"Prix gros plus cher que détail ?",IF(AND(C80&lt;&gt;"",C80&gt;=D80),"Vendu à perte ?",IF(AND(C80&lt;&gt;"",E80&lt;&gt;"",C80&gt;=E80),"Gros vendu à perte ?","")))))</f>
        <v/>
      </c>
    </row>
    <row r="81" customFormat="false" ht="15" hidden="false" customHeight="false" outlineLevel="0" collapsed="false">
      <c r="A81" s="8" t="s">
        <v>30</v>
      </c>
      <c r="B81" s="8" t="s">
        <v>110</v>
      </c>
      <c r="C81" s="9"/>
      <c r="D81" s="9" t="n">
        <v>935</v>
      </c>
      <c r="E81" s="9"/>
      <c r="F81" s="9"/>
      <c r="G81" s="10" t="str">
        <f aca="false">IF(B81="","",IF(D81="","Prix détail manquant",IF(AND(E81&lt;&gt;"",E81&gt;D81),"Prix gros plus cher que détail ?",IF(AND(C81&lt;&gt;"",C81&gt;=D81),"Vendu à perte ?",IF(AND(C81&lt;&gt;"",E81&lt;&gt;"",C81&gt;=E81),"Gros vendu à perte ?","")))))</f>
        <v/>
      </c>
    </row>
    <row r="82" customFormat="false" ht="15" hidden="false" customHeight="false" outlineLevel="0" collapsed="false">
      <c r="A82" s="8" t="s">
        <v>30</v>
      </c>
      <c r="B82" s="8" t="s">
        <v>111</v>
      </c>
      <c r="C82" s="9"/>
      <c r="D82" s="9" t="n">
        <v>1500</v>
      </c>
      <c r="E82" s="9"/>
      <c r="F82" s="9"/>
      <c r="G82" s="10" t="str">
        <f aca="false">IF(B82="","",IF(D82="","Prix détail manquant",IF(AND(E82&lt;&gt;"",E82&gt;D82),"Prix gros plus cher que détail ?",IF(AND(C82&lt;&gt;"",C82&gt;=D82),"Vendu à perte ?",IF(AND(C82&lt;&gt;"",E82&lt;&gt;"",C82&gt;=E82),"Gros vendu à perte ?","")))))</f>
        <v/>
      </c>
    </row>
    <row r="83" customFormat="false" ht="15" hidden="false" customHeight="false" outlineLevel="0" collapsed="false">
      <c r="A83" s="8" t="s">
        <v>30</v>
      </c>
      <c r="B83" s="8" t="s">
        <v>112</v>
      </c>
      <c r="C83" s="9"/>
      <c r="D83" s="9" t="n">
        <v>3500</v>
      </c>
      <c r="E83" s="9"/>
      <c r="F83" s="9"/>
      <c r="G83" s="10" t="str">
        <f aca="false">IF(B83="","",IF(D83="","Prix détail manquant",IF(AND(E83&lt;&gt;"",E83&gt;D83),"Prix gros plus cher que détail ?",IF(AND(C83&lt;&gt;"",C83&gt;=D83),"Vendu à perte ?",IF(AND(C83&lt;&gt;"",E83&lt;&gt;"",C83&gt;=E83),"Gros vendu à perte ?","")))))</f>
        <v/>
      </c>
    </row>
    <row r="84" customFormat="false" ht="15" hidden="false" customHeight="false" outlineLevel="0" collapsed="false">
      <c r="A84" s="8" t="s">
        <v>30</v>
      </c>
      <c r="B84" s="8" t="s">
        <v>113</v>
      </c>
      <c r="C84" s="9"/>
      <c r="D84" s="9" t="n">
        <v>2500</v>
      </c>
      <c r="E84" s="9"/>
      <c r="F84" s="9"/>
      <c r="G84" s="10" t="str">
        <f aca="false">IF(B84="","",IF(D84="","Prix détail manquant",IF(AND(E84&lt;&gt;"",E84&gt;D84),"Prix gros plus cher que détail ?",IF(AND(C84&lt;&gt;"",C84&gt;=D84),"Vendu à perte ?",IF(AND(C84&lt;&gt;"",E84&lt;&gt;"",C84&gt;=E84),"Gros vendu à perte ?","")))))</f>
        <v/>
      </c>
    </row>
    <row r="85" customFormat="false" ht="15" hidden="false" customHeight="false" outlineLevel="0" collapsed="false">
      <c r="A85" s="8" t="s">
        <v>30</v>
      </c>
      <c r="B85" s="8" t="s">
        <v>114</v>
      </c>
      <c r="C85" s="9"/>
      <c r="D85" s="9" t="n">
        <v>1670</v>
      </c>
      <c r="E85" s="9"/>
      <c r="F85" s="9"/>
      <c r="G85" s="10" t="str">
        <f aca="false">IF(B85="","",IF(D85="","Prix détail manquant",IF(AND(E85&lt;&gt;"",E85&gt;D85),"Prix gros plus cher que détail ?",IF(AND(C85&lt;&gt;"",C85&gt;=D85),"Vendu à perte ?",IF(AND(C85&lt;&gt;"",E85&lt;&gt;"",C85&gt;=E85),"Gros vendu à perte ?","")))))</f>
        <v/>
      </c>
    </row>
    <row r="86" customFormat="false" ht="15" hidden="false" customHeight="false" outlineLevel="0" collapsed="false">
      <c r="A86" s="8" t="s">
        <v>30</v>
      </c>
      <c r="B86" s="8" t="s">
        <v>115</v>
      </c>
      <c r="C86" s="9"/>
      <c r="D86" s="9" t="n">
        <v>3500</v>
      </c>
      <c r="E86" s="9"/>
      <c r="F86" s="9"/>
      <c r="G86" s="10" t="str">
        <f aca="false">IF(B86="","",IF(D86="","Prix détail manquant",IF(AND(E86&lt;&gt;"",E86&gt;D86),"Prix gros plus cher que détail ?",IF(AND(C86&lt;&gt;"",C86&gt;=D86),"Vendu à perte ?",IF(AND(C86&lt;&gt;"",E86&lt;&gt;"",C86&gt;=E86),"Gros vendu à perte ?","")))))</f>
        <v/>
      </c>
    </row>
    <row r="87" customFormat="false" ht="15" hidden="false" customHeight="false" outlineLevel="0" collapsed="false">
      <c r="A87" s="8" t="s">
        <v>30</v>
      </c>
      <c r="B87" s="8" t="s">
        <v>116</v>
      </c>
      <c r="C87" s="9"/>
      <c r="D87" s="9" t="n">
        <v>1670</v>
      </c>
      <c r="E87" s="9"/>
      <c r="F87" s="9"/>
      <c r="G87" s="10" t="str">
        <f aca="false">IF(B87="","",IF(D87="","Prix détail manquant",IF(AND(E87&lt;&gt;"",E87&gt;D87),"Prix gros plus cher que détail ?",IF(AND(C87&lt;&gt;"",C87&gt;=D87),"Vendu à perte ?",IF(AND(C87&lt;&gt;"",E87&lt;&gt;"",C87&gt;=E87),"Gros vendu à perte ?","")))))</f>
        <v/>
      </c>
    </row>
    <row r="88" customFormat="false" ht="15" hidden="false" customHeight="false" outlineLevel="0" collapsed="false">
      <c r="A88" s="8" t="s">
        <v>30</v>
      </c>
      <c r="B88" s="8" t="s">
        <v>117</v>
      </c>
      <c r="C88" s="9"/>
      <c r="D88" s="9" t="n">
        <v>2200</v>
      </c>
      <c r="E88" s="9"/>
      <c r="F88" s="9"/>
      <c r="G88" s="10" t="str">
        <f aca="false">IF(B88="","",IF(D88="","Prix détail manquant",IF(AND(E88&lt;&gt;"",E88&gt;D88),"Prix gros plus cher que détail ?",IF(AND(C88&lt;&gt;"",C88&gt;=D88),"Vendu à perte ?",IF(AND(C88&lt;&gt;"",E88&lt;&gt;"",C88&gt;=E88),"Gros vendu à perte ?","")))))</f>
        <v/>
      </c>
    </row>
    <row r="89" customFormat="false" ht="15" hidden="false" customHeight="false" outlineLevel="0" collapsed="false">
      <c r="A89" s="8" t="s">
        <v>30</v>
      </c>
      <c r="B89" s="8" t="s">
        <v>118</v>
      </c>
      <c r="C89" s="9"/>
      <c r="D89" s="9" t="n">
        <v>3500</v>
      </c>
      <c r="E89" s="9"/>
      <c r="F89" s="9"/>
      <c r="G89" s="10" t="str">
        <f aca="false">IF(B89="","",IF(D89="","Prix détail manquant",IF(AND(E89&lt;&gt;"",E89&gt;D89),"Prix gros plus cher que détail ?",IF(AND(C89&lt;&gt;"",C89&gt;=D89),"Vendu à perte ?",IF(AND(C89&lt;&gt;"",E89&lt;&gt;"",C89&gt;=E89),"Gros vendu à perte ?","")))))</f>
        <v/>
      </c>
    </row>
    <row r="90" customFormat="false" ht="15" hidden="false" customHeight="false" outlineLevel="0" collapsed="false">
      <c r="A90" s="8" t="s">
        <v>30</v>
      </c>
      <c r="B90" s="8" t="s">
        <v>119</v>
      </c>
      <c r="C90" s="9"/>
      <c r="D90" s="9" t="n">
        <v>3200</v>
      </c>
      <c r="E90" s="9"/>
      <c r="F90" s="9"/>
      <c r="G90" s="10" t="str">
        <f aca="false">IF(B90="","",IF(D90="","Prix détail manquant",IF(AND(E90&lt;&gt;"",E90&gt;D90),"Prix gros plus cher que détail ?",IF(AND(C90&lt;&gt;"",C90&gt;=D90),"Vendu à perte ?",IF(AND(C90&lt;&gt;"",E90&lt;&gt;"",C90&gt;=E90),"Gros vendu à perte ?","")))))</f>
        <v/>
      </c>
    </row>
    <row r="91" customFormat="false" ht="15" hidden="false" customHeight="false" outlineLevel="0" collapsed="false">
      <c r="A91" s="8" t="s">
        <v>30</v>
      </c>
      <c r="B91" s="8" t="s">
        <v>120</v>
      </c>
      <c r="C91" s="9"/>
      <c r="D91" s="9" t="n">
        <v>4000</v>
      </c>
      <c r="E91" s="9"/>
      <c r="F91" s="9"/>
      <c r="G91" s="10" t="str">
        <f aca="false">IF(B91="","",IF(D91="","Prix détail manquant",IF(AND(E91&lt;&gt;"",E91&gt;D91),"Prix gros plus cher que détail ?",IF(AND(C91&lt;&gt;"",C91&gt;=D91),"Vendu à perte ?",IF(AND(C91&lt;&gt;"",E91&lt;&gt;"",C91&gt;=E91),"Gros vendu à perte ?","")))))</f>
        <v/>
      </c>
    </row>
    <row r="92" customFormat="false" ht="15" hidden="false" customHeight="false" outlineLevel="0" collapsed="false">
      <c r="A92" s="8" t="s">
        <v>30</v>
      </c>
      <c r="B92" s="8" t="s">
        <v>121</v>
      </c>
      <c r="C92" s="9"/>
      <c r="D92" s="9" t="n">
        <v>5500</v>
      </c>
      <c r="E92" s="9"/>
      <c r="F92" s="9"/>
      <c r="G92" s="10" t="str">
        <f aca="false">IF(B92="","",IF(D92="","Prix détail manquant",IF(AND(E92&lt;&gt;"",E92&gt;D92),"Prix gros plus cher que détail ?",IF(AND(C92&lt;&gt;"",C92&gt;=D92),"Vendu à perte ?",IF(AND(C92&lt;&gt;"",E92&lt;&gt;"",C92&gt;=E92),"Gros vendu à perte ?","")))))</f>
        <v/>
      </c>
    </row>
    <row r="93" customFormat="false" ht="15" hidden="false" customHeight="false" outlineLevel="0" collapsed="false">
      <c r="A93" s="8" t="s">
        <v>30</v>
      </c>
      <c r="B93" s="8" t="s">
        <v>122</v>
      </c>
      <c r="C93" s="9"/>
      <c r="D93" s="9" t="n">
        <v>2200</v>
      </c>
      <c r="E93" s="9"/>
      <c r="F93" s="9"/>
      <c r="G93" s="10" t="str">
        <f aca="false">IF(B93="","",IF(D93="","Prix détail manquant",IF(AND(E93&lt;&gt;"",E93&gt;D93),"Prix gros plus cher que détail ?",IF(AND(C93&lt;&gt;"",C93&gt;=D93),"Vendu à perte ?",IF(AND(C93&lt;&gt;"",E93&lt;&gt;"",C93&gt;=E93),"Gros vendu à perte ?","")))))</f>
        <v/>
      </c>
    </row>
    <row r="94" customFormat="false" ht="15" hidden="false" customHeight="false" outlineLevel="0" collapsed="false">
      <c r="A94" s="8" t="s">
        <v>30</v>
      </c>
      <c r="B94" s="8" t="s">
        <v>123</v>
      </c>
      <c r="C94" s="9"/>
      <c r="D94" s="9" t="n">
        <v>1835</v>
      </c>
      <c r="E94" s="9"/>
      <c r="F94" s="9"/>
      <c r="G94" s="10" t="str">
        <f aca="false">IF(B94="","",IF(D94="","Prix détail manquant",IF(AND(E94&lt;&gt;"",E94&gt;D94),"Prix gros plus cher que détail ?",IF(AND(C94&lt;&gt;"",C94&gt;=D94),"Vendu à perte ?",IF(AND(C94&lt;&gt;"",E94&lt;&gt;"",C94&gt;=E94),"Gros vendu à perte ?","")))))</f>
        <v/>
      </c>
    </row>
    <row r="95" customFormat="false" ht="15" hidden="false" customHeight="false" outlineLevel="0" collapsed="false">
      <c r="A95" s="8" t="s">
        <v>30</v>
      </c>
      <c r="B95" s="8" t="s">
        <v>124</v>
      </c>
      <c r="C95" s="9"/>
      <c r="D95" s="9" t="n">
        <v>5000</v>
      </c>
      <c r="E95" s="9"/>
      <c r="F95" s="9"/>
      <c r="G95" s="10" t="str">
        <f aca="false">IF(B95="","",IF(D95="","Prix détail manquant",IF(AND(E95&lt;&gt;"",E95&gt;D95),"Prix gros plus cher que détail ?",IF(AND(C95&lt;&gt;"",C95&gt;=D95),"Vendu à perte ?",IF(AND(C95&lt;&gt;"",E95&lt;&gt;"",C95&gt;=E95),"Gros vendu à perte ?","")))))</f>
        <v/>
      </c>
    </row>
    <row r="96" customFormat="false" ht="15" hidden="false" customHeight="false" outlineLevel="0" collapsed="false">
      <c r="A96" s="8" t="s">
        <v>30</v>
      </c>
      <c r="B96" s="8" t="s">
        <v>125</v>
      </c>
      <c r="C96" s="9"/>
      <c r="D96" s="9" t="n">
        <v>1500</v>
      </c>
      <c r="E96" s="9"/>
      <c r="F96" s="9"/>
      <c r="G96" s="10" t="str">
        <f aca="false">IF(B96="","",IF(D96="","Prix détail manquant",IF(AND(E96&lt;&gt;"",E96&gt;D96),"Prix gros plus cher que détail ?",IF(AND(C96&lt;&gt;"",C96&gt;=D96),"Vendu à perte ?",IF(AND(C96&lt;&gt;"",E96&lt;&gt;"",C96&gt;=E96),"Gros vendu à perte ?","")))))</f>
        <v/>
      </c>
    </row>
    <row r="97" customFormat="false" ht="15" hidden="false" customHeight="false" outlineLevel="0" collapsed="false">
      <c r="A97" s="8" t="s">
        <v>30</v>
      </c>
      <c r="B97" s="8" t="s">
        <v>126</v>
      </c>
      <c r="C97" s="9"/>
      <c r="D97" s="9" t="n">
        <v>3500</v>
      </c>
      <c r="E97" s="9"/>
      <c r="F97" s="9"/>
      <c r="G97" s="10" t="str">
        <f aca="false">IF(B97="","",IF(D97="","Prix détail manquant",IF(AND(E97&lt;&gt;"",E97&gt;D97),"Prix gros plus cher que détail ?",IF(AND(C97&lt;&gt;"",C97&gt;=D97),"Vendu à perte ?",IF(AND(C97&lt;&gt;"",E97&lt;&gt;"",C97&gt;=E97),"Gros vendu à perte ?","")))))</f>
        <v/>
      </c>
    </row>
    <row r="98" customFormat="false" ht="15" hidden="false" customHeight="false" outlineLevel="0" collapsed="false">
      <c r="A98" s="8" t="s">
        <v>30</v>
      </c>
      <c r="B98" s="8" t="s">
        <v>127</v>
      </c>
      <c r="C98" s="9"/>
      <c r="D98" s="9"/>
      <c r="E98" s="9"/>
      <c r="F98" s="9"/>
      <c r="G98" s="10" t="str">
        <f aca="false">IF(B98="","",IF(D98="","Prix détail manquant",IF(AND(E98&lt;&gt;"",E98&gt;D98),"Prix gros plus cher que détail ?",IF(AND(C98&lt;&gt;"",C98&gt;=D98),"Vendu à perte ?",IF(AND(C98&lt;&gt;"",E98&lt;&gt;"",C98&gt;=E98),"Gros vendu à perte ?","")))))</f>
        <v>Prix détail manquant</v>
      </c>
    </row>
    <row r="99" customFormat="false" ht="15" hidden="false" customHeight="false" outlineLevel="0" collapsed="false">
      <c r="A99" s="8" t="s">
        <v>30</v>
      </c>
      <c r="B99" s="8" t="s">
        <v>128</v>
      </c>
      <c r="C99" s="9"/>
      <c r="D99" s="9" t="n">
        <v>4500</v>
      </c>
      <c r="E99" s="9"/>
      <c r="F99" s="9"/>
      <c r="G99" s="10" t="str">
        <f aca="false">IF(B99="","",IF(D99="","Prix détail manquant",IF(AND(E99&lt;&gt;"",E99&gt;D99),"Prix gros plus cher que détail ?",IF(AND(C99&lt;&gt;"",C99&gt;=D99),"Vendu à perte ?",IF(AND(C99&lt;&gt;"",E99&lt;&gt;"",C99&gt;=E99),"Gros vendu à perte ?","")))))</f>
        <v/>
      </c>
    </row>
    <row r="100" customFormat="false" ht="15" hidden="false" customHeight="false" outlineLevel="0" collapsed="false">
      <c r="A100" s="8" t="s">
        <v>30</v>
      </c>
      <c r="B100" s="8" t="s">
        <v>129</v>
      </c>
      <c r="C100" s="9"/>
      <c r="D100" s="9" t="n">
        <v>2500</v>
      </c>
      <c r="E100" s="9"/>
      <c r="F100" s="9"/>
      <c r="G100" s="10" t="str">
        <f aca="false">IF(B100="","",IF(D100="","Prix détail manquant",IF(AND(E100&lt;&gt;"",E100&gt;D100),"Prix gros plus cher que détail ?",IF(AND(C100&lt;&gt;"",C100&gt;=D100),"Vendu à perte ?",IF(AND(C100&lt;&gt;"",E100&lt;&gt;"",C100&gt;=E100),"Gros vendu à perte ?","")))))</f>
        <v/>
      </c>
    </row>
    <row r="101" customFormat="false" ht="15" hidden="false" customHeight="false" outlineLevel="0" collapsed="false">
      <c r="A101" s="8" t="s">
        <v>30</v>
      </c>
      <c r="B101" s="8" t="s">
        <v>130</v>
      </c>
      <c r="C101" s="9"/>
      <c r="D101" s="9" t="n">
        <v>3000</v>
      </c>
      <c r="E101" s="9"/>
      <c r="F101" s="9"/>
      <c r="G101" s="10" t="str">
        <f aca="false">IF(B101="","",IF(D101="","Prix détail manquant",IF(AND(E101&lt;&gt;"",E101&gt;D101),"Prix gros plus cher que détail ?",IF(AND(C101&lt;&gt;"",C101&gt;=D101),"Vendu à perte ?",IF(AND(C101&lt;&gt;"",E101&lt;&gt;"",C101&gt;=E101),"Gros vendu à perte ?","")))))</f>
        <v/>
      </c>
    </row>
    <row r="102" customFormat="false" ht="15" hidden="false" customHeight="false" outlineLevel="0" collapsed="false">
      <c r="A102" s="8" t="s">
        <v>30</v>
      </c>
      <c r="B102" s="8" t="s">
        <v>131</v>
      </c>
      <c r="C102" s="9"/>
      <c r="D102" s="9" t="n">
        <v>4000</v>
      </c>
      <c r="E102" s="9"/>
      <c r="F102" s="9"/>
      <c r="G102" s="10" t="str">
        <f aca="false">IF(B102="","",IF(D102="","Prix détail manquant",IF(AND(E102&lt;&gt;"",E102&gt;D102),"Prix gros plus cher que détail ?",IF(AND(C102&lt;&gt;"",C102&gt;=D102),"Vendu à perte ?",IF(AND(C102&lt;&gt;"",E102&lt;&gt;"",C102&gt;=E102),"Gros vendu à perte ?","")))))</f>
        <v/>
      </c>
    </row>
    <row r="103" customFormat="false" ht="15" hidden="false" customHeight="false" outlineLevel="0" collapsed="false">
      <c r="A103" s="8" t="s">
        <v>30</v>
      </c>
      <c r="B103" s="8" t="s">
        <v>132</v>
      </c>
      <c r="C103" s="9"/>
      <c r="D103" s="9" t="n">
        <v>3000</v>
      </c>
      <c r="E103" s="9"/>
      <c r="F103" s="9"/>
      <c r="G103" s="10" t="str">
        <f aca="false">IF(B103="","",IF(D103="","Prix détail manquant",IF(AND(E103&lt;&gt;"",E103&gt;D103),"Prix gros plus cher que détail ?",IF(AND(C103&lt;&gt;"",C103&gt;=D103),"Vendu à perte ?",IF(AND(C103&lt;&gt;"",E103&lt;&gt;"",C103&gt;=E103),"Gros vendu à perte ?","")))))</f>
        <v/>
      </c>
    </row>
    <row r="104" customFormat="false" ht="15" hidden="false" customHeight="false" outlineLevel="0" collapsed="false">
      <c r="A104" s="8" t="s">
        <v>30</v>
      </c>
      <c r="B104" s="8" t="s">
        <v>133</v>
      </c>
      <c r="C104" s="9"/>
      <c r="D104" s="9" t="n">
        <v>4500</v>
      </c>
      <c r="E104" s="9"/>
      <c r="F104" s="9"/>
      <c r="G104" s="10" t="str">
        <f aca="false">IF(B104="","",IF(D104="","Prix détail manquant",IF(AND(E104&lt;&gt;"",E104&gt;D104),"Prix gros plus cher que détail ?",IF(AND(C104&lt;&gt;"",C104&gt;=D104),"Vendu à perte ?",IF(AND(C104&lt;&gt;"",E104&lt;&gt;"",C104&gt;=E104),"Gros vendu à perte ?","")))))</f>
        <v/>
      </c>
    </row>
    <row r="105" customFormat="false" ht="15" hidden="false" customHeight="false" outlineLevel="0" collapsed="false">
      <c r="A105" s="8" t="s">
        <v>30</v>
      </c>
      <c r="B105" s="8" t="s">
        <v>134</v>
      </c>
      <c r="C105" s="9"/>
      <c r="D105" s="9" t="n">
        <v>1600</v>
      </c>
      <c r="E105" s="9"/>
      <c r="F105" s="9"/>
      <c r="G105" s="10" t="str">
        <f aca="false">IF(B105="","",IF(D105="","Prix détail manquant",IF(AND(E105&lt;&gt;"",E105&gt;D105),"Prix gros plus cher que détail ?",IF(AND(C105&lt;&gt;"",C105&gt;=D105),"Vendu à perte ?",IF(AND(C105&lt;&gt;"",E105&lt;&gt;"",C105&gt;=E105),"Gros vendu à perte ?","")))))</f>
        <v/>
      </c>
    </row>
    <row r="106" customFormat="false" ht="15" hidden="false" customHeight="false" outlineLevel="0" collapsed="false">
      <c r="A106" s="8" t="s">
        <v>30</v>
      </c>
      <c r="B106" s="8" t="s">
        <v>135</v>
      </c>
      <c r="C106" s="9"/>
      <c r="D106" s="9" t="n">
        <v>3000</v>
      </c>
      <c r="E106" s="9"/>
      <c r="F106" s="9"/>
      <c r="G106" s="10" t="str">
        <f aca="false">IF(B106="","",IF(D106="","Prix détail manquant",IF(AND(E106&lt;&gt;"",E106&gt;D106),"Prix gros plus cher que détail ?",IF(AND(C106&lt;&gt;"",C106&gt;=D106),"Vendu à perte ?",IF(AND(C106&lt;&gt;"",E106&lt;&gt;"",C106&gt;=E106),"Gros vendu à perte ?","")))))</f>
        <v/>
      </c>
    </row>
    <row r="107" customFormat="false" ht="15" hidden="false" customHeight="false" outlineLevel="0" collapsed="false">
      <c r="A107" s="8" t="s">
        <v>30</v>
      </c>
      <c r="B107" s="8" t="s">
        <v>136</v>
      </c>
      <c r="C107" s="9"/>
      <c r="D107" s="9" t="n">
        <v>2000</v>
      </c>
      <c r="E107" s="9"/>
      <c r="F107" s="9"/>
      <c r="G107" s="10" t="str">
        <f aca="false">IF(B107="","",IF(D107="","Prix détail manquant",IF(AND(E107&lt;&gt;"",E107&gt;D107),"Prix gros plus cher que détail ?",IF(AND(C107&lt;&gt;"",C107&gt;=D107),"Vendu à perte ?",IF(AND(C107&lt;&gt;"",E107&lt;&gt;"",C107&gt;=E107),"Gros vendu à perte ?","")))))</f>
        <v/>
      </c>
    </row>
    <row r="108" customFormat="false" ht="15" hidden="false" customHeight="false" outlineLevel="0" collapsed="false">
      <c r="A108" s="8" t="s">
        <v>30</v>
      </c>
      <c r="B108" s="8" t="s">
        <v>137</v>
      </c>
      <c r="C108" s="9"/>
      <c r="D108" s="9" t="n">
        <v>1700</v>
      </c>
      <c r="E108" s="9"/>
      <c r="F108" s="9"/>
      <c r="G108" s="10" t="str">
        <f aca="false">IF(B108="","",IF(D108="","Prix détail manquant",IF(AND(E108&lt;&gt;"",E108&gt;D108),"Prix gros plus cher que détail ?",IF(AND(C108&lt;&gt;"",C108&gt;=D108),"Vendu à perte ?",IF(AND(C108&lt;&gt;"",E108&lt;&gt;"",C108&gt;=E108),"Gros vendu à perte ?","")))))</f>
        <v/>
      </c>
    </row>
    <row r="109" customFormat="false" ht="15" hidden="false" customHeight="false" outlineLevel="0" collapsed="false">
      <c r="A109" s="8" t="s">
        <v>30</v>
      </c>
      <c r="B109" s="8" t="s">
        <v>138</v>
      </c>
      <c r="C109" s="9"/>
      <c r="D109" s="9" t="n">
        <v>3600</v>
      </c>
      <c r="E109" s="9"/>
      <c r="F109" s="9"/>
      <c r="G109" s="10" t="str">
        <f aca="false">IF(B109="","",IF(D109="","Prix détail manquant",IF(AND(E109&lt;&gt;"",E109&gt;D109),"Prix gros plus cher que détail ?",IF(AND(C109&lt;&gt;"",C109&gt;=D109),"Vendu à perte ?",IF(AND(C109&lt;&gt;"",E109&lt;&gt;"",C109&gt;=E109),"Gros vendu à perte ?","")))))</f>
        <v/>
      </c>
    </row>
    <row r="110" customFormat="false" ht="15" hidden="false" customHeight="false" outlineLevel="0" collapsed="false">
      <c r="A110" s="8" t="s">
        <v>30</v>
      </c>
      <c r="B110" s="8" t="s">
        <v>139</v>
      </c>
      <c r="C110" s="9"/>
      <c r="D110" s="9" t="n">
        <v>3500</v>
      </c>
      <c r="E110" s="9"/>
      <c r="F110" s="9"/>
      <c r="G110" s="10" t="str">
        <f aca="false">IF(B110="","",IF(D110="","Prix détail manquant",IF(AND(E110&lt;&gt;"",E110&gt;D110),"Prix gros plus cher que détail ?",IF(AND(C110&lt;&gt;"",C110&gt;=D110),"Vendu à perte ?",IF(AND(C110&lt;&gt;"",E110&lt;&gt;"",C110&gt;=E110),"Gros vendu à perte ?","")))))</f>
        <v/>
      </c>
    </row>
    <row r="111" customFormat="false" ht="15" hidden="false" customHeight="false" outlineLevel="0" collapsed="false">
      <c r="A111" s="8" t="s">
        <v>30</v>
      </c>
      <c r="B111" s="8" t="s">
        <v>140</v>
      </c>
      <c r="C111" s="9"/>
      <c r="D111" s="9" t="n">
        <v>1200</v>
      </c>
      <c r="E111" s="9"/>
      <c r="F111" s="9"/>
      <c r="G111" s="10" t="str">
        <f aca="false">IF(B111="","",IF(D111="","Prix détail manquant",IF(AND(E111&lt;&gt;"",E111&gt;D111),"Prix gros plus cher que détail ?",IF(AND(C111&lt;&gt;"",C111&gt;=D111),"Vendu à perte ?",IF(AND(C111&lt;&gt;"",E111&lt;&gt;"",C111&gt;=E111),"Gros vendu à perte ?","")))))</f>
        <v/>
      </c>
    </row>
    <row r="112" customFormat="false" ht="15" hidden="false" customHeight="false" outlineLevel="0" collapsed="false">
      <c r="A112" s="8" t="s">
        <v>30</v>
      </c>
      <c r="B112" s="8" t="s">
        <v>141</v>
      </c>
      <c r="C112" s="9"/>
      <c r="D112" s="9" t="n">
        <v>1300</v>
      </c>
      <c r="E112" s="9"/>
      <c r="F112" s="9"/>
      <c r="G112" s="10" t="str">
        <f aca="false">IF(B112="","",IF(D112="","Prix détail manquant",IF(AND(E112&lt;&gt;"",E112&gt;D112),"Prix gros plus cher que détail ?",IF(AND(C112&lt;&gt;"",C112&gt;=D112),"Vendu à perte ?",IF(AND(C112&lt;&gt;"",E112&lt;&gt;"",C112&gt;=E112),"Gros vendu à perte ?","")))))</f>
        <v/>
      </c>
    </row>
    <row r="113" customFormat="false" ht="15" hidden="false" customHeight="false" outlineLevel="0" collapsed="false">
      <c r="A113" s="8" t="s">
        <v>30</v>
      </c>
      <c r="B113" s="8" t="s">
        <v>142</v>
      </c>
      <c r="C113" s="9"/>
      <c r="D113" s="9"/>
      <c r="E113" s="9"/>
      <c r="F113" s="9"/>
      <c r="G113" s="10" t="str">
        <f aca="false">IF(B113="","",IF(D113="","Prix détail manquant",IF(AND(E113&lt;&gt;"",E113&gt;D113),"Prix gros plus cher que détail ?",IF(AND(C113&lt;&gt;"",C113&gt;=D113),"Vendu à perte ?",IF(AND(C113&lt;&gt;"",E113&lt;&gt;"",C113&gt;=E113),"Gros vendu à perte ?","")))))</f>
        <v>Prix détail manquant</v>
      </c>
    </row>
    <row r="114" customFormat="false" ht="15" hidden="false" customHeight="false" outlineLevel="0" collapsed="false">
      <c r="A114" s="8" t="s">
        <v>30</v>
      </c>
      <c r="B114" s="8" t="s">
        <v>143</v>
      </c>
      <c r="C114" s="9"/>
      <c r="D114" s="9" t="n">
        <v>1350</v>
      </c>
      <c r="E114" s="9"/>
      <c r="F114" s="9"/>
      <c r="G114" s="10" t="str">
        <f aca="false">IF(B114="","",IF(D114="","Prix détail manquant",IF(AND(E114&lt;&gt;"",E114&gt;D114),"Prix gros plus cher que détail ?",IF(AND(C114&lt;&gt;"",C114&gt;=D114),"Vendu à perte ?",IF(AND(C114&lt;&gt;"",E114&lt;&gt;"",C114&gt;=E114),"Gros vendu à perte ?","")))))</f>
        <v/>
      </c>
    </row>
    <row r="115" customFormat="false" ht="15" hidden="false" customHeight="false" outlineLevel="0" collapsed="false">
      <c r="A115" s="8" t="s">
        <v>30</v>
      </c>
      <c r="B115" s="8" t="s">
        <v>144</v>
      </c>
      <c r="C115" s="9"/>
      <c r="D115" s="9" t="n">
        <v>1400</v>
      </c>
      <c r="E115" s="9"/>
      <c r="F115" s="9"/>
      <c r="G115" s="10" t="str">
        <f aca="false">IF(B115="","",IF(D115="","Prix détail manquant",IF(AND(E115&lt;&gt;"",E115&gt;D115),"Prix gros plus cher que détail ?",IF(AND(C115&lt;&gt;"",C115&gt;=D115),"Vendu à perte ?",IF(AND(C115&lt;&gt;"",E115&lt;&gt;"",C115&gt;=E115),"Gros vendu à perte ?","")))))</f>
        <v/>
      </c>
    </row>
    <row r="116" customFormat="false" ht="15" hidden="false" customHeight="false" outlineLevel="0" collapsed="false">
      <c r="A116" s="8" t="s">
        <v>30</v>
      </c>
      <c r="B116" s="8" t="s">
        <v>145</v>
      </c>
      <c r="C116" s="9"/>
      <c r="D116" s="9" t="n">
        <v>300</v>
      </c>
      <c r="E116" s="9"/>
      <c r="F116" s="9"/>
      <c r="G116" s="10" t="str">
        <f aca="false">IF(B116="","",IF(D116="","Prix détail manquant",IF(AND(E116&lt;&gt;"",E116&gt;D116),"Prix gros plus cher que détail ?",IF(AND(C116&lt;&gt;"",C116&gt;=D116),"Vendu à perte ?",IF(AND(C116&lt;&gt;"",E116&lt;&gt;"",C116&gt;=E116),"Gros vendu à perte ?","")))))</f>
        <v/>
      </c>
    </row>
    <row r="117" customFormat="false" ht="15" hidden="false" customHeight="false" outlineLevel="0" collapsed="false">
      <c r="A117" s="8" t="s">
        <v>146</v>
      </c>
      <c r="B117" s="8" t="s">
        <v>147</v>
      </c>
      <c r="C117" s="9"/>
      <c r="D117" s="9" t="n">
        <v>170</v>
      </c>
      <c r="E117" s="9"/>
      <c r="F117" s="9"/>
      <c r="G117" s="10" t="str">
        <f aca="false">IF(B117="","",IF(D117="","Prix détail manquant",IF(AND(E117&lt;&gt;"",E117&gt;D117),"Prix gros plus cher que détail ?",IF(AND(C117&lt;&gt;"",C117&gt;=D117),"Vendu à perte ?",IF(AND(C117&lt;&gt;"",E117&lt;&gt;"",C117&gt;=E117),"Gros vendu à perte ?","")))))</f>
        <v/>
      </c>
    </row>
    <row r="118" customFormat="false" ht="15" hidden="false" customHeight="false" outlineLevel="0" collapsed="false">
      <c r="A118" s="8" t="s">
        <v>146</v>
      </c>
      <c r="B118" s="8" t="s">
        <v>148</v>
      </c>
      <c r="C118" s="9"/>
      <c r="D118" s="9" t="n">
        <v>335</v>
      </c>
      <c r="E118" s="9"/>
      <c r="F118" s="9"/>
      <c r="G118" s="10" t="str">
        <f aca="false">IF(B118="","",IF(D118="","Prix détail manquant",IF(AND(E118&lt;&gt;"",E118&gt;D118),"Prix gros plus cher que détail ?",IF(AND(C118&lt;&gt;"",C118&gt;=D118),"Vendu à perte ?",IF(AND(C118&lt;&gt;"",E118&lt;&gt;"",C118&gt;=E118),"Gros vendu à perte ?","")))))</f>
        <v/>
      </c>
    </row>
    <row r="119" customFormat="false" ht="15" hidden="false" customHeight="false" outlineLevel="0" collapsed="false">
      <c r="A119" s="8" t="s">
        <v>146</v>
      </c>
      <c r="B119" s="8" t="s">
        <v>149</v>
      </c>
      <c r="C119" s="9"/>
      <c r="D119" s="9"/>
      <c r="E119" s="9"/>
      <c r="F119" s="9"/>
      <c r="G119" s="10" t="str">
        <f aca="false">IF(B119="","",IF(D119="","Prix détail manquant",IF(AND(E119&lt;&gt;"",E119&gt;D119),"Prix gros plus cher que détail ?",IF(AND(C119&lt;&gt;"",C119&gt;=D119),"Vendu à perte ?",IF(AND(C119&lt;&gt;"",E119&lt;&gt;"",C119&gt;=E119),"Gros vendu à perte ?","")))))</f>
        <v>Prix détail manquant</v>
      </c>
    </row>
    <row r="120" customFormat="false" ht="15" hidden="false" customHeight="false" outlineLevel="0" collapsed="false">
      <c r="A120" s="8" t="s">
        <v>146</v>
      </c>
      <c r="B120" s="8" t="s">
        <v>150</v>
      </c>
      <c r="C120" s="9"/>
      <c r="D120" s="9" t="n">
        <v>1100</v>
      </c>
      <c r="E120" s="9"/>
      <c r="F120" s="9"/>
      <c r="G120" s="10" t="str">
        <f aca="false">IF(B120="","",IF(D120="","Prix détail manquant",IF(AND(E120&lt;&gt;"",E120&gt;D120),"Prix gros plus cher que détail ?",IF(AND(C120&lt;&gt;"",C120&gt;=D120),"Vendu à perte ?",IF(AND(C120&lt;&gt;"",E120&lt;&gt;"",C120&gt;=E120),"Gros vendu à perte ?","")))))</f>
        <v/>
      </c>
    </row>
    <row r="121" customFormat="false" ht="15" hidden="false" customHeight="false" outlineLevel="0" collapsed="false">
      <c r="A121" s="8" t="s">
        <v>146</v>
      </c>
      <c r="B121" s="8" t="s">
        <v>151</v>
      </c>
      <c r="C121" s="9"/>
      <c r="D121" s="9" t="n">
        <v>1300</v>
      </c>
      <c r="E121" s="9"/>
      <c r="F121" s="9"/>
      <c r="G121" s="10" t="str">
        <f aca="false">IF(B121="","",IF(D121="","Prix détail manquant",IF(AND(E121&lt;&gt;"",E121&gt;D121),"Prix gros plus cher que détail ?",IF(AND(C121&lt;&gt;"",C121&gt;=D121),"Vendu à perte ?",IF(AND(C121&lt;&gt;"",E121&lt;&gt;"",C121&gt;=E121),"Gros vendu à perte ?","")))))</f>
        <v/>
      </c>
    </row>
    <row r="122" customFormat="false" ht="15" hidden="false" customHeight="false" outlineLevel="0" collapsed="false">
      <c r="A122" s="8" t="s">
        <v>146</v>
      </c>
      <c r="B122" s="8" t="s">
        <v>152</v>
      </c>
      <c r="C122" s="9"/>
      <c r="D122" s="9" t="n">
        <v>300</v>
      </c>
      <c r="E122" s="9"/>
      <c r="F122" s="9"/>
      <c r="G122" s="10" t="str">
        <f aca="false">IF(B122="","",IF(D122="","Prix détail manquant",IF(AND(E122&lt;&gt;"",E122&gt;D122),"Prix gros plus cher que détail ?",IF(AND(C122&lt;&gt;"",C122&gt;=D122),"Vendu à perte ?",IF(AND(C122&lt;&gt;"",E122&lt;&gt;"",C122&gt;=E122),"Gros vendu à perte ?","")))))</f>
        <v/>
      </c>
    </row>
    <row r="123" customFormat="false" ht="15" hidden="false" customHeight="false" outlineLevel="0" collapsed="false">
      <c r="A123" s="8" t="s">
        <v>146</v>
      </c>
      <c r="B123" s="8" t="s">
        <v>153</v>
      </c>
      <c r="C123" s="9"/>
      <c r="D123" s="9" t="n">
        <v>500</v>
      </c>
      <c r="E123" s="9"/>
      <c r="F123" s="9"/>
      <c r="G123" s="10" t="str">
        <f aca="false">IF(B123="","",IF(D123="","Prix détail manquant",IF(AND(E123&lt;&gt;"",E123&gt;D123),"Prix gros plus cher que détail ?",IF(AND(C123&lt;&gt;"",C123&gt;=D123),"Vendu à perte ?",IF(AND(C123&lt;&gt;"",E123&lt;&gt;"",C123&gt;=E123),"Gros vendu à perte ?","")))))</f>
        <v/>
      </c>
    </row>
    <row r="124" customFormat="false" ht="15" hidden="false" customHeight="false" outlineLevel="0" collapsed="false">
      <c r="A124" s="8" t="s">
        <v>146</v>
      </c>
      <c r="B124" s="8" t="s">
        <v>154</v>
      </c>
      <c r="C124" s="9"/>
      <c r="D124" s="9" t="n">
        <v>500</v>
      </c>
      <c r="E124" s="9"/>
      <c r="F124" s="9"/>
      <c r="G124" s="10" t="str">
        <f aca="false">IF(B124="","",IF(D124="","Prix détail manquant",IF(AND(E124&lt;&gt;"",E124&gt;D124),"Prix gros plus cher que détail ?",IF(AND(C124&lt;&gt;"",C124&gt;=D124),"Vendu à perte ?",IF(AND(C124&lt;&gt;"",E124&lt;&gt;"",C124&gt;=E124),"Gros vendu à perte ?","")))))</f>
        <v/>
      </c>
    </row>
    <row r="125" customFormat="false" ht="15" hidden="false" customHeight="false" outlineLevel="0" collapsed="false">
      <c r="A125" s="8" t="s">
        <v>146</v>
      </c>
      <c r="B125" s="8" t="s">
        <v>155</v>
      </c>
      <c r="C125" s="9"/>
      <c r="D125" s="9" t="n">
        <v>300</v>
      </c>
      <c r="E125" s="9"/>
      <c r="F125" s="9"/>
      <c r="G125" s="10" t="str">
        <f aca="false">IF(B125="","",IF(D125="","Prix détail manquant",IF(AND(E125&lt;&gt;"",E125&gt;D125),"Prix gros plus cher que détail ?",IF(AND(C125&lt;&gt;"",C125&gt;=D125),"Vendu à perte ?",IF(AND(C125&lt;&gt;"",E125&lt;&gt;"",C125&gt;=E125),"Gros vendu à perte ?","")))))</f>
        <v/>
      </c>
    </row>
    <row r="126" customFormat="false" ht="15" hidden="false" customHeight="false" outlineLevel="0" collapsed="false">
      <c r="A126" s="8" t="s">
        <v>146</v>
      </c>
      <c r="B126" s="8" t="s">
        <v>156</v>
      </c>
      <c r="C126" s="9"/>
      <c r="D126" s="9" t="n">
        <v>500</v>
      </c>
      <c r="E126" s="9"/>
      <c r="F126" s="9"/>
      <c r="G126" s="10" t="str">
        <f aca="false">IF(B126="","",IF(D126="","Prix détail manquant",IF(AND(E126&lt;&gt;"",E126&gt;D126),"Prix gros plus cher que détail ?",IF(AND(C126&lt;&gt;"",C126&gt;=D126),"Vendu à perte ?",IF(AND(C126&lt;&gt;"",E126&lt;&gt;"",C126&gt;=E126),"Gros vendu à perte ?","")))))</f>
        <v/>
      </c>
    </row>
    <row r="127" customFormat="false" ht="15" hidden="false" customHeight="false" outlineLevel="0" collapsed="false">
      <c r="A127" s="8" t="s">
        <v>146</v>
      </c>
      <c r="B127" s="8" t="s">
        <v>157</v>
      </c>
      <c r="C127" s="9"/>
      <c r="D127" s="9" t="n">
        <v>335</v>
      </c>
      <c r="E127" s="9"/>
      <c r="F127" s="9"/>
      <c r="G127" s="10" t="str">
        <f aca="false">IF(B127="","",IF(D127="","Prix détail manquant",IF(AND(E127&lt;&gt;"",E127&gt;D127),"Prix gros plus cher que détail ?",IF(AND(C127&lt;&gt;"",C127&gt;=D127),"Vendu à perte ?",IF(AND(C127&lt;&gt;"",E127&lt;&gt;"",C127&gt;=E127),"Gros vendu à perte ?","")))))</f>
        <v/>
      </c>
    </row>
    <row r="128" customFormat="false" ht="15" hidden="false" customHeight="false" outlineLevel="0" collapsed="false">
      <c r="A128" s="8" t="s">
        <v>146</v>
      </c>
      <c r="B128" s="8" t="s">
        <v>158</v>
      </c>
      <c r="C128" s="9"/>
      <c r="D128" s="9" t="n">
        <v>400</v>
      </c>
      <c r="E128" s="9"/>
      <c r="F128" s="9"/>
      <c r="G128" s="10" t="str">
        <f aca="false">IF(B128="","",IF(D128="","Prix détail manquant",IF(AND(E128&lt;&gt;"",E128&gt;D128),"Prix gros plus cher que détail ?",IF(AND(C128&lt;&gt;"",C128&gt;=D128),"Vendu à perte ?",IF(AND(C128&lt;&gt;"",E128&lt;&gt;"",C128&gt;=E128),"Gros vendu à perte ?","")))))</f>
        <v/>
      </c>
    </row>
    <row r="129" customFormat="false" ht="15" hidden="false" customHeight="false" outlineLevel="0" collapsed="false">
      <c r="A129" s="8" t="s">
        <v>146</v>
      </c>
      <c r="B129" s="8" t="s">
        <v>159</v>
      </c>
      <c r="C129" s="9"/>
      <c r="D129" s="9" t="n">
        <v>170</v>
      </c>
      <c r="E129" s="9"/>
      <c r="F129" s="9"/>
      <c r="G129" s="10" t="str">
        <f aca="false">IF(B129="","",IF(D129="","Prix détail manquant",IF(AND(E129&lt;&gt;"",E129&gt;D129),"Prix gros plus cher que détail ?",IF(AND(C129&lt;&gt;"",C129&gt;=D129),"Vendu à perte ?",IF(AND(C129&lt;&gt;"",E129&lt;&gt;"",C129&gt;=E129),"Gros vendu à perte ?","")))))</f>
        <v/>
      </c>
    </row>
    <row r="130" customFormat="false" ht="15" hidden="false" customHeight="false" outlineLevel="0" collapsed="false">
      <c r="A130" s="8" t="s">
        <v>146</v>
      </c>
      <c r="B130" s="8" t="s">
        <v>160</v>
      </c>
      <c r="C130" s="9"/>
      <c r="D130" s="9" t="n">
        <v>150</v>
      </c>
      <c r="E130" s="9"/>
      <c r="F130" s="9"/>
      <c r="G130" s="10" t="str">
        <f aca="false">IF(B130="","",IF(D130="","Prix détail manquant",IF(AND(E130&lt;&gt;"",E130&gt;D130),"Prix gros plus cher que détail ?",IF(AND(C130&lt;&gt;"",C130&gt;=D130),"Vendu à perte ?",IF(AND(C130&lt;&gt;"",E130&lt;&gt;"",C130&gt;=E130),"Gros vendu à perte ?","")))))</f>
        <v/>
      </c>
    </row>
    <row r="131" customFormat="false" ht="15" hidden="false" customHeight="false" outlineLevel="0" collapsed="false">
      <c r="A131" s="8" t="s">
        <v>146</v>
      </c>
      <c r="B131" s="8" t="s">
        <v>161</v>
      </c>
      <c r="C131" s="9"/>
      <c r="D131" s="9" t="n">
        <v>2000</v>
      </c>
      <c r="E131" s="9"/>
      <c r="F131" s="9"/>
      <c r="G131" s="10" t="str">
        <f aca="false">IF(B131="","",IF(D131="","Prix détail manquant",IF(AND(E131&lt;&gt;"",E131&gt;D131),"Prix gros plus cher que détail ?",IF(AND(C131&lt;&gt;"",C131&gt;=D131),"Vendu à perte ?",IF(AND(C131&lt;&gt;"",E131&lt;&gt;"",C131&gt;=E131),"Gros vendu à perte ?","")))))</f>
        <v/>
      </c>
    </row>
    <row r="132" customFormat="false" ht="15" hidden="false" customHeight="false" outlineLevel="0" collapsed="false">
      <c r="A132" s="8" t="s">
        <v>146</v>
      </c>
      <c r="B132" s="8" t="s">
        <v>162</v>
      </c>
      <c r="C132" s="9"/>
      <c r="D132" s="9" t="n">
        <v>1500</v>
      </c>
      <c r="E132" s="9"/>
      <c r="F132" s="9"/>
      <c r="G132" s="10" t="str">
        <f aca="false">IF(B132="","",IF(D132="","Prix détail manquant",IF(AND(E132&lt;&gt;"",E132&gt;D132),"Prix gros plus cher que détail ?",IF(AND(C132&lt;&gt;"",C132&gt;=D132),"Vendu à perte ?",IF(AND(C132&lt;&gt;"",E132&lt;&gt;"",C132&gt;=E132),"Gros vendu à perte ?","")))))</f>
        <v/>
      </c>
    </row>
    <row r="133" customFormat="false" ht="15" hidden="false" customHeight="false" outlineLevel="0" collapsed="false">
      <c r="A133" s="8" t="s">
        <v>146</v>
      </c>
      <c r="B133" s="8" t="s">
        <v>163</v>
      </c>
      <c r="C133" s="9"/>
      <c r="D133" s="9" t="n">
        <v>300</v>
      </c>
      <c r="E133" s="9"/>
      <c r="F133" s="9"/>
      <c r="G133" s="10" t="str">
        <f aca="false">IF(B133="","",IF(D133="","Prix détail manquant",IF(AND(E133&lt;&gt;"",E133&gt;D133),"Prix gros plus cher que détail ?",IF(AND(C133&lt;&gt;"",C133&gt;=D133),"Vendu à perte ?",IF(AND(C133&lt;&gt;"",E133&lt;&gt;"",C133&gt;=E133),"Gros vendu à perte ?","")))))</f>
        <v/>
      </c>
    </row>
    <row r="134" customFormat="false" ht="15" hidden="false" customHeight="false" outlineLevel="0" collapsed="false">
      <c r="A134" s="8" t="s">
        <v>146</v>
      </c>
      <c r="B134" s="8" t="s">
        <v>164</v>
      </c>
      <c r="C134" s="9"/>
      <c r="D134" s="9" t="n">
        <v>85</v>
      </c>
      <c r="E134" s="9"/>
      <c r="F134" s="9"/>
      <c r="G134" s="10" t="str">
        <f aca="false">IF(B134="","",IF(D134="","Prix détail manquant",IF(AND(E134&lt;&gt;"",E134&gt;D134),"Prix gros plus cher que détail ?",IF(AND(C134&lt;&gt;"",C134&gt;=D134),"Vendu à perte ?",IF(AND(C134&lt;&gt;"",E134&lt;&gt;"",C134&gt;=E134),"Gros vendu à perte ?","")))))</f>
        <v/>
      </c>
    </row>
    <row r="135" customFormat="false" ht="15" hidden="false" customHeight="false" outlineLevel="0" collapsed="false">
      <c r="A135" s="8" t="s">
        <v>146</v>
      </c>
      <c r="B135" s="8" t="s">
        <v>165</v>
      </c>
      <c r="C135" s="9"/>
      <c r="D135" s="9"/>
      <c r="E135" s="9"/>
      <c r="F135" s="9"/>
      <c r="G135" s="10" t="str">
        <f aca="false">IF(B135="","",IF(D135="","Prix détail manquant",IF(AND(E135&lt;&gt;"",E135&gt;D135),"Prix gros plus cher que détail ?",IF(AND(C135&lt;&gt;"",C135&gt;=D135),"Vendu à perte ?",IF(AND(C135&lt;&gt;"",E135&lt;&gt;"",C135&gt;=E135),"Gros vendu à perte ?","")))))</f>
        <v>Prix détail manquant</v>
      </c>
    </row>
    <row r="136" customFormat="false" ht="15" hidden="false" customHeight="false" outlineLevel="0" collapsed="false">
      <c r="A136" s="8" t="s">
        <v>146</v>
      </c>
      <c r="B136" s="8" t="s">
        <v>166</v>
      </c>
      <c r="C136" s="9"/>
      <c r="D136" s="9" t="n">
        <v>500</v>
      </c>
      <c r="E136" s="9"/>
      <c r="F136" s="9"/>
      <c r="G136" s="10" t="str">
        <f aca="false">IF(B136="","",IF(D136="","Prix détail manquant",IF(AND(E136&lt;&gt;"",E136&gt;D136),"Prix gros plus cher que détail ?",IF(AND(C136&lt;&gt;"",C136&gt;=D136),"Vendu à perte ?",IF(AND(C136&lt;&gt;"",E136&lt;&gt;"",C136&gt;=E136),"Gros vendu à perte ?","")))))</f>
        <v/>
      </c>
    </row>
    <row r="137" customFormat="false" ht="15" hidden="false" customHeight="false" outlineLevel="0" collapsed="false">
      <c r="A137" s="8" t="s">
        <v>146</v>
      </c>
      <c r="B137" s="8" t="s">
        <v>167</v>
      </c>
      <c r="C137" s="9"/>
      <c r="D137" s="9" t="n">
        <v>1000</v>
      </c>
      <c r="E137" s="9"/>
      <c r="F137" s="9"/>
      <c r="G137" s="10" t="str">
        <f aca="false">IF(B137="","",IF(D137="","Prix détail manquant",IF(AND(E137&lt;&gt;"",E137&gt;D137),"Prix gros plus cher que détail ?",IF(AND(C137&lt;&gt;"",C137&gt;=D137),"Vendu à perte ?",IF(AND(C137&lt;&gt;"",E137&lt;&gt;"",C137&gt;=E137),"Gros vendu à perte ?","")))))</f>
        <v/>
      </c>
    </row>
    <row r="138" customFormat="false" ht="15" hidden="false" customHeight="false" outlineLevel="0" collapsed="false">
      <c r="A138" s="8" t="s">
        <v>146</v>
      </c>
      <c r="B138" s="8" t="s">
        <v>168</v>
      </c>
      <c r="C138" s="9"/>
      <c r="D138" s="9" t="n">
        <v>800</v>
      </c>
      <c r="E138" s="9"/>
      <c r="F138" s="9"/>
      <c r="G138" s="10" t="str">
        <f aca="false">IF(B138="","",IF(D138="","Prix détail manquant",IF(AND(E138&lt;&gt;"",E138&gt;D138),"Prix gros plus cher que détail ?",IF(AND(C138&lt;&gt;"",C138&gt;=D138),"Vendu à perte ?",IF(AND(C138&lt;&gt;"",E138&lt;&gt;"",C138&gt;=E138),"Gros vendu à perte ?","")))))</f>
        <v/>
      </c>
    </row>
    <row r="139" customFormat="false" ht="15" hidden="false" customHeight="false" outlineLevel="0" collapsed="false">
      <c r="A139" s="8" t="s">
        <v>146</v>
      </c>
      <c r="B139" s="8" t="s">
        <v>169</v>
      </c>
      <c r="C139" s="9"/>
      <c r="D139" s="9" t="n">
        <v>500</v>
      </c>
      <c r="E139" s="9"/>
      <c r="F139" s="9"/>
      <c r="G139" s="10" t="str">
        <f aca="false">IF(B139="","",IF(D139="","Prix détail manquant",IF(AND(E139&lt;&gt;"",E139&gt;D139),"Prix gros plus cher que détail ?",IF(AND(C139&lt;&gt;"",C139&gt;=D139),"Vendu à perte ?",IF(AND(C139&lt;&gt;"",E139&lt;&gt;"",C139&gt;=E139),"Gros vendu à perte ?","")))))</f>
        <v/>
      </c>
    </row>
    <row r="140" customFormat="false" ht="15" hidden="false" customHeight="false" outlineLevel="0" collapsed="false">
      <c r="A140" s="8" t="s">
        <v>146</v>
      </c>
      <c r="B140" s="8" t="s">
        <v>170</v>
      </c>
      <c r="C140" s="9"/>
      <c r="D140" s="9" t="n">
        <v>1000</v>
      </c>
      <c r="E140" s="9"/>
      <c r="F140" s="9"/>
      <c r="G140" s="10" t="str">
        <f aca="false">IF(B140="","",IF(D140="","Prix détail manquant",IF(AND(E140&lt;&gt;"",E140&gt;D140),"Prix gros plus cher que détail ?",IF(AND(C140&lt;&gt;"",C140&gt;=D140),"Vendu à perte ?",IF(AND(C140&lt;&gt;"",E140&lt;&gt;"",C140&gt;=E140),"Gros vendu à perte ?","")))))</f>
        <v/>
      </c>
    </row>
    <row r="141" customFormat="false" ht="15" hidden="false" customHeight="false" outlineLevel="0" collapsed="false">
      <c r="A141" s="8" t="s">
        <v>146</v>
      </c>
      <c r="B141" s="8" t="s">
        <v>171</v>
      </c>
      <c r="C141" s="9"/>
      <c r="D141" s="9" t="n">
        <v>170</v>
      </c>
      <c r="E141" s="9"/>
      <c r="F141" s="9"/>
      <c r="G141" s="10" t="str">
        <f aca="false">IF(B141="","",IF(D141="","Prix détail manquant",IF(AND(E141&lt;&gt;"",E141&gt;D141),"Prix gros plus cher que détail ?",IF(AND(C141&lt;&gt;"",C141&gt;=D141),"Vendu à perte ?",IF(AND(C141&lt;&gt;"",E141&lt;&gt;"",C141&gt;=E141),"Gros vendu à perte ?","")))))</f>
        <v/>
      </c>
    </row>
    <row r="142" customFormat="false" ht="15" hidden="false" customHeight="false" outlineLevel="0" collapsed="false">
      <c r="A142" s="8" t="s">
        <v>146</v>
      </c>
      <c r="B142" s="8" t="s">
        <v>172</v>
      </c>
      <c r="C142" s="9"/>
      <c r="D142" s="9" t="n">
        <v>170</v>
      </c>
      <c r="E142" s="9"/>
      <c r="F142" s="9"/>
      <c r="G142" s="10" t="str">
        <f aca="false">IF(B142="","",IF(D142="","Prix détail manquant",IF(AND(E142&lt;&gt;"",E142&gt;D142),"Prix gros plus cher que détail ?",IF(AND(C142&lt;&gt;"",C142&gt;=D142),"Vendu à perte ?",IF(AND(C142&lt;&gt;"",E142&lt;&gt;"",C142&gt;=E142),"Gros vendu à perte ?","")))))</f>
        <v/>
      </c>
    </row>
    <row r="143" customFormat="false" ht="15" hidden="false" customHeight="false" outlineLevel="0" collapsed="false">
      <c r="A143" s="8" t="s">
        <v>146</v>
      </c>
      <c r="B143" s="8" t="s">
        <v>173</v>
      </c>
      <c r="C143" s="9"/>
      <c r="D143" s="9" t="n">
        <v>85</v>
      </c>
      <c r="E143" s="9"/>
      <c r="F143" s="9"/>
      <c r="G143" s="10" t="str">
        <f aca="false">IF(B143="","",IF(D143="","Prix détail manquant",IF(AND(E143&lt;&gt;"",E143&gt;D143),"Prix gros plus cher que détail ?",IF(AND(C143&lt;&gt;"",C143&gt;=D143),"Vendu à perte ?",IF(AND(C143&lt;&gt;"",E143&lt;&gt;"",C143&gt;=E143),"Gros vendu à perte ?","")))))</f>
        <v/>
      </c>
    </row>
    <row r="144" customFormat="false" ht="15" hidden="false" customHeight="false" outlineLevel="0" collapsed="false">
      <c r="A144" s="8" t="s">
        <v>146</v>
      </c>
      <c r="B144" s="8" t="s">
        <v>174</v>
      </c>
      <c r="C144" s="9"/>
      <c r="D144" s="9" t="n">
        <v>1000</v>
      </c>
      <c r="E144" s="9"/>
      <c r="F144" s="9"/>
      <c r="G144" s="10" t="str">
        <f aca="false">IF(B144="","",IF(D144="","Prix détail manquant",IF(AND(E144&lt;&gt;"",E144&gt;D144),"Prix gros plus cher que détail ?",IF(AND(C144&lt;&gt;"",C144&gt;=D144),"Vendu à perte ?",IF(AND(C144&lt;&gt;"",E144&lt;&gt;"",C144&gt;=E144),"Gros vendu à perte ?","")))))</f>
        <v/>
      </c>
    </row>
    <row r="145" customFormat="false" ht="15" hidden="false" customHeight="false" outlineLevel="0" collapsed="false">
      <c r="A145" s="8" t="s">
        <v>146</v>
      </c>
      <c r="B145" s="8" t="s">
        <v>175</v>
      </c>
      <c r="C145" s="9"/>
      <c r="D145" s="9" t="n">
        <v>700</v>
      </c>
      <c r="E145" s="9"/>
      <c r="F145" s="9"/>
      <c r="G145" s="10" t="str">
        <f aca="false">IF(B145="","",IF(D145="","Prix détail manquant",IF(AND(E145&lt;&gt;"",E145&gt;D145),"Prix gros plus cher que détail ?",IF(AND(C145&lt;&gt;"",C145&gt;=D145),"Vendu à perte ?",IF(AND(C145&lt;&gt;"",E145&lt;&gt;"",C145&gt;=E145),"Gros vendu à perte ?","")))))</f>
        <v/>
      </c>
    </row>
    <row r="146" customFormat="false" ht="15" hidden="false" customHeight="false" outlineLevel="0" collapsed="false">
      <c r="A146" s="8" t="s">
        <v>146</v>
      </c>
      <c r="B146" s="8" t="s">
        <v>176</v>
      </c>
      <c r="C146" s="9"/>
      <c r="D146" s="9" t="n">
        <v>600</v>
      </c>
      <c r="E146" s="9"/>
      <c r="F146" s="9"/>
      <c r="G146" s="10" t="str">
        <f aca="false">IF(B146="","",IF(D146="","Prix détail manquant",IF(AND(E146&lt;&gt;"",E146&gt;D146),"Prix gros plus cher que détail ?",IF(AND(C146&lt;&gt;"",C146&gt;=D146),"Vendu à perte ?",IF(AND(C146&lt;&gt;"",E146&lt;&gt;"",C146&gt;=E146),"Gros vendu à perte ?","")))))</f>
        <v/>
      </c>
    </row>
    <row r="147" customFormat="false" ht="15" hidden="false" customHeight="false" outlineLevel="0" collapsed="false">
      <c r="A147" s="8" t="s">
        <v>146</v>
      </c>
      <c r="B147" s="8" t="s">
        <v>177</v>
      </c>
      <c r="C147" s="9"/>
      <c r="D147" s="9" t="n">
        <v>100</v>
      </c>
      <c r="E147" s="9"/>
      <c r="F147" s="9"/>
      <c r="G147" s="10" t="str">
        <f aca="false">IF(B147="","",IF(D147="","Prix détail manquant",IF(AND(E147&lt;&gt;"",E147&gt;D147),"Prix gros plus cher que détail ?",IF(AND(C147&lt;&gt;"",C147&gt;=D147),"Vendu à perte ?",IF(AND(C147&lt;&gt;"",E147&lt;&gt;"",C147&gt;=E147),"Gros vendu à perte ?","")))))</f>
        <v/>
      </c>
    </row>
    <row r="148" customFormat="false" ht="15" hidden="false" customHeight="false" outlineLevel="0" collapsed="false">
      <c r="A148" s="8" t="s">
        <v>146</v>
      </c>
      <c r="B148" s="8" t="s">
        <v>178</v>
      </c>
      <c r="C148" s="9"/>
      <c r="D148" s="9" t="n">
        <v>500</v>
      </c>
      <c r="E148" s="9"/>
      <c r="F148" s="9"/>
      <c r="G148" s="10" t="str">
        <f aca="false">IF(B148="","",IF(D148="","Prix détail manquant",IF(AND(E148&lt;&gt;"",E148&gt;D148),"Prix gros plus cher que détail ?",IF(AND(C148&lt;&gt;"",C148&gt;=D148),"Vendu à perte ?",IF(AND(C148&lt;&gt;"",E148&lt;&gt;"",C148&gt;=E148),"Gros vendu à perte ?","")))))</f>
        <v/>
      </c>
    </row>
    <row r="149" customFormat="false" ht="15" hidden="false" customHeight="false" outlineLevel="0" collapsed="false">
      <c r="A149" s="8" t="s">
        <v>146</v>
      </c>
      <c r="B149" s="8" t="s">
        <v>179</v>
      </c>
      <c r="C149" s="9"/>
      <c r="D149" s="9" t="n">
        <v>600</v>
      </c>
      <c r="E149" s="9"/>
      <c r="F149" s="9"/>
      <c r="G149" s="10" t="str">
        <f aca="false">IF(B149="","",IF(D149="","Prix détail manquant",IF(AND(E149&lt;&gt;"",E149&gt;D149),"Prix gros plus cher que détail ?",IF(AND(C149&lt;&gt;"",C149&gt;=D149),"Vendu à perte ?",IF(AND(C149&lt;&gt;"",E149&lt;&gt;"",C149&gt;=E149),"Gros vendu à perte ?","")))))</f>
        <v/>
      </c>
    </row>
    <row r="150" customFormat="false" ht="15" hidden="false" customHeight="false" outlineLevel="0" collapsed="false">
      <c r="A150" s="8" t="s">
        <v>146</v>
      </c>
      <c r="B150" s="8" t="s">
        <v>180</v>
      </c>
      <c r="C150" s="9"/>
      <c r="D150" s="9" t="n">
        <v>700</v>
      </c>
      <c r="E150" s="9"/>
      <c r="F150" s="9"/>
      <c r="G150" s="10" t="str">
        <f aca="false">IF(B150="","",IF(D150="","Prix détail manquant",IF(AND(E150&lt;&gt;"",E150&gt;D150),"Prix gros plus cher que détail ?",IF(AND(C150&lt;&gt;"",C150&gt;=D150),"Vendu à perte ?",IF(AND(C150&lt;&gt;"",E150&lt;&gt;"",C150&gt;=E150),"Gros vendu à perte ?","")))))</f>
        <v/>
      </c>
    </row>
    <row r="151" customFormat="false" ht="15" hidden="false" customHeight="false" outlineLevel="0" collapsed="false">
      <c r="A151" s="8" t="s">
        <v>146</v>
      </c>
      <c r="B151" s="8" t="s">
        <v>181</v>
      </c>
      <c r="C151" s="9"/>
      <c r="D151" s="9" t="n">
        <v>400</v>
      </c>
      <c r="E151" s="9"/>
      <c r="F151" s="9"/>
      <c r="G151" s="10" t="str">
        <f aca="false">IF(B151="","",IF(D151="","Prix détail manquant",IF(AND(E151&lt;&gt;"",E151&gt;D151),"Prix gros plus cher que détail ?",IF(AND(C151&lt;&gt;"",C151&gt;=D151),"Vendu à perte ?",IF(AND(C151&lt;&gt;"",E151&lt;&gt;"",C151&gt;=E151),"Gros vendu à perte ?","")))))</f>
        <v/>
      </c>
    </row>
    <row r="152" customFormat="false" ht="15" hidden="false" customHeight="false" outlineLevel="0" collapsed="false">
      <c r="A152" s="8" t="s">
        <v>146</v>
      </c>
      <c r="B152" s="8" t="s">
        <v>182</v>
      </c>
      <c r="C152" s="9"/>
      <c r="D152" s="9" t="n">
        <v>400</v>
      </c>
      <c r="E152" s="9"/>
      <c r="F152" s="9"/>
      <c r="G152" s="10" t="str">
        <f aca="false">IF(B152="","",IF(D152="","Prix détail manquant",IF(AND(E152&lt;&gt;"",E152&gt;D152),"Prix gros plus cher que détail ?",IF(AND(C152&lt;&gt;"",C152&gt;=D152),"Vendu à perte ?",IF(AND(C152&lt;&gt;"",E152&lt;&gt;"",C152&gt;=E152),"Gros vendu à perte ?","")))))</f>
        <v/>
      </c>
    </row>
    <row r="153" customFormat="false" ht="15" hidden="false" customHeight="false" outlineLevel="0" collapsed="false">
      <c r="A153" s="8" t="s">
        <v>146</v>
      </c>
      <c r="B153" s="8" t="s">
        <v>183</v>
      </c>
      <c r="C153" s="9"/>
      <c r="D153" s="9" t="n">
        <v>185</v>
      </c>
      <c r="E153" s="9"/>
      <c r="F153" s="9"/>
      <c r="G153" s="10" t="str">
        <f aca="false">IF(B153="","",IF(D153="","Prix détail manquant",IF(AND(E153&lt;&gt;"",E153&gt;D153),"Prix gros plus cher que détail ?",IF(AND(C153&lt;&gt;"",C153&gt;=D153),"Vendu à perte ?",IF(AND(C153&lt;&gt;"",E153&lt;&gt;"",C153&gt;=E153),"Gros vendu à perte ?","")))))</f>
        <v/>
      </c>
    </row>
    <row r="154" customFormat="false" ht="15" hidden="false" customHeight="false" outlineLevel="0" collapsed="false">
      <c r="A154" s="8" t="s">
        <v>146</v>
      </c>
      <c r="B154" s="8" t="s">
        <v>184</v>
      </c>
      <c r="C154" s="9"/>
      <c r="D154" s="9" t="n">
        <v>1000</v>
      </c>
      <c r="E154" s="9"/>
      <c r="F154" s="9"/>
      <c r="G154" s="10" t="str">
        <f aca="false">IF(B154="","",IF(D154="","Prix détail manquant",IF(AND(E154&lt;&gt;"",E154&gt;D154),"Prix gros plus cher que détail ?",IF(AND(C154&lt;&gt;"",C154&gt;=D154),"Vendu à perte ?",IF(AND(C154&lt;&gt;"",E154&lt;&gt;"",C154&gt;=E154),"Gros vendu à perte ?","")))))</f>
        <v/>
      </c>
    </row>
    <row r="155" customFormat="false" ht="15" hidden="false" customHeight="false" outlineLevel="0" collapsed="false">
      <c r="A155" s="8" t="s">
        <v>146</v>
      </c>
      <c r="B155" s="8" t="s">
        <v>185</v>
      </c>
      <c r="C155" s="9"/>
      <c r="D155" s="9" t="n">
        <v>800</v>
      </c>
      <c r="E155" s="9"/>
      <c r="F155" s="9"/>
      <c r="G155" s="10" t="str">
        <f aca="false">IF(B155="","",IF(D155="","Prix détail manquant",IF(AND(E155&lt;&gt;"",E155&gt;D155),"Prix gros plus cher que détail ?",IF(AND(C155&lt;&gt;"",C155&gt;=D155),"Vendu à perte ?",IF(AND(C155&lt;&gt;"",E155&lt;&gt;"",C155&gt;=E155),"Gros vendu à perte ?","")))))</f>
        <v/>
      </c>
    </row>
    <row r="156" customFormat="false" ht="15" hidden="false" customHeight="false" outlineLevel="0" collapsed="false">
      <c r="A156" s="8" t="s">
        <v>146</v>
      </c>
      <c r="B156" s="8" t="s">
        <v>186</v>
      </c>
      <c r="C156" s="9"/>
      <c r="D156" s="9" t="n">
        <v>500</v>
      </c>
      <c r="E156" s="9"/>
      <c r="F156" s="9"/>
      <c r="G156" s="10" t="str">
        <f aca="false">IF(B156="","",IF(D156="","Prix détail manquant",IF(AND(E156&lt;&gt;"",E156&gt;D156),"Prix gros plus cher que détail ?",IF(AND(C156&lt;&gt;"",C156&gt;=D156),"Vendu à perte ?",IF(AND(C156&lt;&gt;"",E156&lt;&gt;"",C156&gt;=E156),"Gros vendu à perte ?","")))))</f>
        <v/>
      </c>
    </row>
    <row r="157" customFormat="false" ht="15" hidden="false" customHeight="false" outlineLevel="0" collapsed="false">
      <c r="A157" s="8" t="s">
        <v>146</v>
      </c>
      <c r="B157" s="8" t="s">
        <v>187</v>
      </c>
      <c r="C157" s="9"/>
      <c r="D157" s="9" t="n">
        <v>170</v>
      </c>
      <c r="E157" s="9"/>
      <c r="F157" s="9"/>
      <c r="G157" s="10" t="str">
        <f aca="false">IF(B157="","",IF(D157="","Prix détail manquant",IF(AND(E157&lt;&gt;"",E157&gt;D157),"Prix gros plus cher que détail ?",IF(AND(C157&lt;&gt;"",C157&gt;=D157),"Vendu à perte ?",IF(AND(C157&lt;&gt;"",E157&lt;&gt;"",C157&gt;=E157),"Gros vendu à perte ?","")))))</f>
        <v/>
      </c>
    </row>
    <row r="158" customFormat="false" ht="15" hidden="false" customHeight="false" outlineLevel="0" collapsed="false">
      <c r="A158" s="8" t="s">
        <v>146</v>
      </c>
      <c r="B158" s="8" t="s">
        <v>188</v>
      </c>
      <c r="C158" s="9"/>
      <c r="D158" s="9" t="n">
        <v>500</v>
      </c>
      <c r="E158" s="9"/>
      <c r="F158" s="9"/>
      <c r="G158" s="10" t="str">
        <f aca="false">IF(B158="","",IF(D158="","Prix détail manquant",IF(AND(E158&lt;&gt;"",E158&gt;D158),"Prix gros plus cher que détail ?",IF(AND(C158&lt;&gt;"",C158&gt;=D158),"Vendu à perte ?",IF(AND(C158&lt;&gt;"",E158&lt;&gt;"",C158&gt;=E158),"Gros vendu à perte ?","")))))</f>
        <v/>
      </c>
    </row>
    <row r="159" customFormat="false" ht="15" hidden="false" customHeight="false" outlineLevel="0" collapsed="false">
      <c r="A159" s="8" t="s">
        <v>146</v>
      </c>
      <c r="B159" s="8" t="s">
        <v>189</v>
      </c>
      <c r="C159" s="9"/>
      <c r="D159" s="9" t="n">
        <v>2500</v>
      </c>
      <c r="E159" s="9"/>
      <c r="F159" s="9"/>
      <c r="G159" s="10" t="str">
        <f aca="false">IF(B159="","",IF(D159="","Prix détail manquant",IF(AND(E159&lt;&gt;"",E159&gt;D159),"Prix gros plus cher que détail ?",IF(AND(C159&lt;&gt;"",C159&gt;=D159),"Vendu à perte ?",IF(AND(C159&lt;&gt;"",E159&lt;&gt;"",C159&gt;=E159),"Gros vendu à perte ?","")))))</f>
        <v/>
      </c>
    </row>
    <row r="160" customFormat="false" ht="15" hidden="false" customHeight="false" outlineLevel="0" collapsed="false">
      <c r="A160" s="8" t="s">
        <v>146</v>
      </c>
      <c r="B160" s="8" t="s">
        <v>190</v>
      </c>
      <c r="C160" s="9"/>
      <c r="D160" s="9" t="n">
        <v>1000</v>
      </c>
      <c r="E160" s="9"/>
      <c r="F160" s="9"/>
      <c r="G160" s="10" t="str">
        <f aca="false">IF(B160="","",IF(D160="","Prix détail manquant",IF(AND(E160&lt;&gt;"",E160&gt;D160),"Prix gros plus cher que détail ?",IF(AND(C160&lt;&gt;"",C160&gt;=D160),"Vendu à perte ?",IF(AND(C160&lt;&gt;"",E160&lt;&gt;"",C160&gt;=E160),"Gros vendu à perte ?","")))))</f>
        <v/>
      </c>
    </row>
    <row r="161" customFormat="false" ht="15" hidden="false" customHeight="false" outlineLevel="0" collapsed="false">
      <c r="A161" s="8" t="s">
        <v>146</v>
      </c>
      <c r="B161" s="8" t="s">
        <v>191</v>
      </c>
      <c r="C161" s="9"/>
      <c r="D161" s="9" t="n">
        <v>1500</v>
      </c>
      <c r="E161" s="9"/>
      <c r="F161" s="9"/>
      <c r="G161" s="10" t="str">
        <f aca="false">IF(B161="","",IF(D161="","Prix détail manquant",IF(AND(E161&lt;&gt;"",E161&gt;D161),"Prix gros plus cher que détail ?",IF(AND(C161&lt;&gt;"",C161&gt;=D161),"Vendu à perte ?",IF(AND(C161&lt;&gt;"",E161&lt;&gt;"",C161&gt;=E161),"Gros vendu à perte ?","")))))</f>
        <v/>
      </c>
    </row>
    <row r="162" customFormat="false" ht="15" hidden="false" customHeight="false" outlineLevel="0" collapsed="false">
      <c r="A162" s="8" t="s">
        <v>146</v>
      </c>
      <c r="B162" s="8" t="s">
        <v>192</v>
      </c>
      <c r="C162" s="9"/>
      <c r="D162" s="9" t="n">
        <v>500</v>
      </c>
      <c r="E162" s="9"/>
      <c r="F162" s="9"/>
      <c r="G162" s="10" t="str">
        <f aca="false">IF(B162="","",IF(D162="","Prix détail manquant",IF(AND(E162&lt;&gt;"",E162&gt;D162),"Prix gros plus cher que détail ?",IF(AND(C162&lt;&gt;"",C162&gt;=D162),"Vendu à perte ?",IF(AND(C162&lt;&gt;"",E162&lt;&gt;"",C162&gt;=E162),"Gros vendu à perte ?","")))))</f>
        <v/>
      </c>
    </row>
    <row r="163" customFormat="false" ht="15" hidden="false" customHeight="false" outlineLevel="0" collapsed="false">
      <c r="A163" s="8" t="s">
        <v>146</v>
      </c>
      <c r="B163" s="8" t="s">
        <v>193</v>
      </c>
      <c r="C163" s="9"/>
      <c r="D163" s="9" t="n">
        <v>235</v>
      </c>
      <c r="E163" s="9"/>
      <c r="F163" s="9"/>
      <c r="G163" s="10" t="str">
        <f aca="false">IF(B163="","",IF(D163="","Prix détail manquant",IF(AND(E163&lt;&gt;"",E163&gt;D163),"Prix gros plus cher que détail ?",IF(AND(C163&lt;&gt;"",C163&gt;=D163),"Vendu à perte ?",IF(AND(C163&lt;&gt;"",E163&lt;&gt;"",C163&gt;=E163),"Gros vendu à perte ?","")))))</f>
        <v/>
      </c>
    </row>
    <row r="164" customFormat="false" ht="15" hidden="false" customHeight="false" outlineLevel="0" collapsed="false">
      <c r="A164" s="8" t="s">
        <v>146</v>
      </c>
      <c r="B164" s="8" t="s">
        <v>194</v>
      </c>
      <c r="C164" s="9"/>
      <c r="D164" s="9" t="n">
        <v>335</v>
      </c>
      <c r="E164" s="9"/>
      <c r="F164" s="9"/>
      <c r="G164" s="10" t="str">
        <f aca="false">IF(B164="","",IF(D164="","Prix détail manquant",IF(AND(E164&lt;&gt;"",E164&gt;D164),"Prix gros plus cher que détail ?",IF(AND(C164&lt;&gt;"",C164&gt;=D164),"Vendu à perte ?",IF(AND(C164&lt;&gt;"",E164&lt;&gt;"",C164&gt;=E164),"Gros vendu à perte ?","")))))</f>
        <v/>
      </c>
    </row>
    <row r="165" customFormat="false" ht="15" hidden="false" customHeight="false" outlineLevel="0" collapsed="false">
      <c r="A165" s="8" t="s">
        <v>146</v>
      </c>
      <c r="B165" s="8" t="s">
        <v>195</v>
      </c>
      <c r="C165" s="9"/>
      <c r="D165" s="9" t="n">
        <v>170</v>
      </c>
      <c r="E165" s="9"/>
      <c r="F165" s="9"/>
      <c r="G165" s="10" t="str">
        <f aca="false">IF(B165="","",IF(D165="","Prix détail manquant",IF(AND(E165&lt;&gt;"",E165&gt;D165),"Prix gros plus cher que détail ?",IF(AND(C165&lt;&gt;"",C165&gt;=D165),"Vendu à perte ?",IF(AND(C165&lt;&gt;"",E165&lt;&gt;"",C165&gt;=E165),"Gros vendu à perte ?","")))))</f>
        <v/>
      </c>
    </row>
    <row r="166" customFormat="false" ht="15" hidden="false" customHeight="false" outlineLevel="0" collapsed="false">
      <c r="A166" s="8" t="s">
        <v>146</v>
      </c>
      <c r="B166" s="8" t="s">
        <v>196</v>
      </c>
      <c r="C166" s="9"/>
      <c r="D166" s="9" t="n">
        <v>85</v>
      </c>
      <c r="E166" s="9"/>
      <c r="F166" s="9"/>
      <c r="G166" s="10" t="str">
        <f aca="false">IF(B166="","",IF(D166="","Prix détail manquant",IF(AND(E166&lt;&gt;"",E166&gt;D166),"Prix gros plus cher que détail ?",IF(AND(C166&lt;&gt;"",C166&gt;=D166),"Vendu à perte ?",IF(AND(C166&lt;&gt;"",E166&lt;&gt;"",C166&gt;=E166),"Gros vendu à perte ?","")))))</f>
        <v/>
      </c>
    </row>
    <row r="167" customFormat="false" ht="15" hidden="false" customHeight="false" outlineLevel="0" collapsed="false">
      <c r="A167" s="8" t="s">
        <v>146</v>
      </c>
      <c r="B167" s="8" t="s">
        <v>197</v>
      </c>
      <c r="C167" s="9"/>
      <c r="D167" s="9" t="n">
        <v>135</v>
      </c>
      <c r="E167" s="9"/>
      <c r="F167" s="9"/>
      <c r="G167" s="10" t="str">
        <f aca="false">IF(B167="","",IF(D167="","Prix détail manquant",IF(AND(E167&lt;&gt;"",E167&gt;D167),"Prix gros plus cher que détail ?",IF(AND(C167&lt;&gt;"",C167&gt;=D167),"Vendu à perte ?",IF(AND(C167&lt;&gt;"",E167&lt;&gt;"",C167&gt;=E167),"Gros vendu à perte ?","")))))</f>
        <v/>
      </c>
    </row>
    <row r="168" customFormat="false" ht="15" hidden="false" customHeight="false" outlineLevel="0" collapsed="false">
      <c r="A168" s="8" t="s">
        <v>146</v>
      </c>
      <c r="B168" s="8" t="s">
        <v>198</v>
      </c>
      <c r="C168" s="9"/>
      <c r="D168" s="9" t="n">
        <v>170</v>
      </c>
      <c r="E168" s="9"/>
      <c r="F168" s="9"/>
      <c r="G168" s="10" t="str">
        <f aca="false">IF(B168="","",IF(D168="","Prix détail manquant",IF(AND(E168&lt;&gt;"",E168&gt;D168),"Prix gros plus cher que détail ?",IF(AND(C168&lt;&gt;"",C168&gt;=D168),"Vendu à perte ?",IF(AND(C168&lt;&gt;"",E168&lt;&gt;"",C168&gt;=E168),"Gros vendu à perte ?","")))))</f>
        <v/>
      </c>
    </row>
    <row r="169" customFormat="false" ht="15" hidden="false" customHeight="false" outlineLevel="0" collapsed="false">
      <c r="A169" s="8" t="s">
        <v>146</v>
      </c>
      <c r="B169" s="8" t="s">
        <v>199</v>
      </c>
      <c r="C169" s="9"/>
      <c r="D169" s="9" t="n">
        <v>500</v>
      </c>
      <c r="E169" s="9"/>
      <c r="F169" s="9"/>
      <c r="G169" s="10" t="str">
        <f aca="false">IF(B169="","",IF(D169="","Prix détail manquant",IF(AND(E169&lt;&gt;"",E169&gt;D169),"Prix gros plus cher que détail ?",IF(AND(C169&lt;&gt;"",C169&gt;=D169),"Vendu à perte ?",IF(AND(C169&lt;&gt;"",E169&lt;&gt;"",C169&gt;=E169),"Gros vendu à perte ?","")))))</f>
        <v/>
      </c>
    </row>
    <row r="170" customFormat="false" ht="15" hidden="false" customHeight="false" outlineLevel="0" collapsed="false">
      <c r="A170" s="8" t="s">
        <v>146</v>
      </c>
      <c r="B170" s="8" t="s">
        <v>200</v>
      </c>
      <c r="C170" s="9"/>
      <c r="D170" s="9" t="n">
        <v>300</v>
      </c>
      <c r="E170" s="9"/>
      <c r="F170" s="9"/>
      <c r="G170" s="10" t="str">
        <f aca="false">IF(B170="","",IF(D170="","Prix détail manquant",IF(AND(E170&lt;&gt;"",E170&gt;D170),"Prix gros plus cher que détail ?",IF(AND(C170&lt;&gt;"",C170&gt;=D170),"Vendu à perte ?",IF(AND(C170&lt;&gt;"",E170&lt;&gt;"",C170&gt;=E170),"Gros vendu à perte ?","")))))</f>
        <v/>
      </c>
    </row>
    <row r="171" customFormat="false" ht="15" hidden="false" customHeight="false" outlineLevel="0" collapsed="false">
      <c r="A171" s="8" t="s">
        <v>146</v>
      </c>
      <c r="B171" s="8" t="s">
        <v>201</v>
      </c>
      <c r="C171" s="9"/>
      <c r="D171" s="9" t="n">
        <v>600</v>
      </c>
      <c r="E171" s="9"/>
      <c r="F171" s="9"/>
      <c r="G171" s="10" t="str">
        <f aca="false">IF(B171="","",IF(D171="","Prix détail manquant",IF(AND(E171&lt;&gt;"",E171&gt;D171),"Prix gros plus cher que détail ?",IF(AND(C171&lt;&gt;"",C171&gt;=D171),"Vendu à perte ?",IF(AND(C171&lt;&gt;"",E171&lt;&gt;"",C171&gt;=E171),"Gros vendu à perte ?","")))))</f>
        <v/>
      </c>
    </row>
    <row r="172" customFormat="false" ht="15" hidden="false" customHeight="false" outlineLevel="0" collapsed="false">
      <c r="A172" s="8" t="s">
        <v>146</v>
      </c>
      <c r="B172" s="8" t="s">
        <v>202</v>
      </c>
      <c r="C172" s="9"/>
      <c r="D172" s="9" t="n">
        <v>170</v>
      </c>
      <c r="E172" s="9"/>
      <c r="F172" s="9"/>
      <c r="G172" s="10" t="str">
        <f aca="false">IF(B172="","",IF(D172="","Prix détail manquant",IF(AND(E172&lt;&gt;"",E172&gt;D172),"Prix gros plus cher que détail ?",IF(AND(C172&lt;&gt;"",C172&gt;=D172),"Vendu à perte ?",IF(AND(C172&lt;&gt;"",E172&lt;&gt;"",C172&gt;=E172),"Gros vendu à perte ?","")))))</f>
        <v/>
      </c>
    </row>
    <row r="173" customFormat="false" ht="15" hidden="false" customHeight="false" outlineLevel="0" collapsed="false">
      <c r="A173" s="8" t="s">
        <v>146</v>
      </c>
      <c r="B173" s="8" t="s">
        <v>203</v>
      </c>
      <c r="C173" s="9"/>
      <c r="D173" s="9" t="n">
        <v>135</v>
      </c>
      <c r="E173" s="9"/>
      <c r="F173" s="9"/>
      <c r="G173" s="10" t="str">
        <f aca="false">IF(B173="","",IF(D173="","Prix détail manquant",IF(AND(E173&lt;&gt;"",E173&gt;D173),"Prix gros plus cher que détail ?",IF(AND(C173&lt;&gt;"",C173&gt;=D173),"Vendu à perte ?",IF(AND(C173&lt;&gt;"",E173&lt;&gt;"",C173&gt;=E173),"Gros vendu à perte ?","")))))</f>
        <v/>
      </c>
    </row>
    <row r="174" customFormat="false" ht="15" hidden="false" customHeight="false" outlineLevel="0" collapsed="false">
      <c r="A174" s="8" t="s">
        <v>146</v>
      </c>
      <c r="B174" s="8" t="s">
        <v>204</v>
      </c>
      <c r="C174" s="9"/>
      <c r="D174" s="9" t="n">
        <v>85</v>
      </c>
      <c r="E174" s="9"/>
      <c r="F174" s="9"/>
      <c r="G174" s="10" t="str">
        <f aca="false">IF(B174="","",IF(D174="","Prix détail manquant",IF(AND(E174&lt;&gt;"",E174&gt;D174),"Prix gros plus cher que détail ?",IF(AND(C174&lt;&gt;"",C174&gt;=D174),"Vendu à perte ?",IF(AND(C174&lt;&gt;"",E174&lt;&gt;"",C174&gt;=E174),"Gros vendu à perte ?","")))))</f>
        <v/>
      </c>
    </row>
    <row r="175" customFormat="false" ht="15" hidden="false" customHeight="false" outlineLevel="0" collapsed="false">
      <c r="A175" s="8" t="s">
        <v>146</v>
      </c>
      <c r="B175" s="8" t="s">
        <v>205</v>
      </c>
      <c r="C175" s="9"/>
      <c r="D175" s="9"/>
      <c r="E175" s="9"/>
      <c r="F175" s="9"/>
      <c r="G175" s="10" t="str">
        <f aca="false">IF(B175="","",IF(D175="","Prix détail manquant",IF(AND(E175&lt;&gt;"",E175&gt;D175),"Prix gros plus cher que détail ?",IF(AND(C175&lt;&gt;"",C175&gt;=D175),"Vendu à perte ?",IF(AND(C175&lt;&gt;"",E175&lt;&gt;"",C175&gt;=E175),"Gros vendu à perte ?","")))))</f>
        <v>Prix détail manquant</v>
      </c>
    </row>
    <row r="176" customFormat="false" ht="15" hidden="false" customHeight="false" outlineLevel="0" collapsed="false">
      <c r="A176" s="8" t="s">
        <v>146</v>
      </c>
      <c r="B176" s="8" t="s">
        <v>206</v>
      </c>
      <c r="C176" s="9"/>
      <c r="D176" s="9" t="n">
        <v>250</v>
      </c>
      <c r="E176" s="9"/>
      <c r="F176" s="9"/>
      <c r="G176" s="10" t="str">
        <f aca="false">IF(B176="","",IF(D176="","Prix détail manquant",IF(AND(E176&lt;&gt;"",E176&gt;D176),"Prix gros plus cher que détail ?",IF(AND(C176&lt;&gt;"",C176&gt;=D176),"Vendu à perte ?",IF(AND(C176&lt;&gt;"",E176&lt;&gt;"",C176&gt;=E176),"Gros vendu à perte ?","")))))</f>
        <v/>
      </c>
    </row>
    <row r="177" customFormat="false" ht="15" hidden="false" customHeight="false" outlineLevel="0" collapsed="false">
      <c r="A177" s="8" t="s">
        <v>146</v>
      </c>
      <c r="B177" s="8" t="s">
        <v>207</v>
      </c>
      <c r="C177" s="9"/>
      <c r="D177" s="9"/>
      <c r="E177" s="9"/>
      <c r="F177" s="9"/>
      <c r="G177" s="10" t="str">
        <f aca="false">IF(B177="","",IF(D177="","Prix détail manquant",IF(AND(E177&lt;&gt;"",E177&gt;D177),"Prix gros plus cher que détail ?",IF(AND(C177&lt;&gt;"",C177&gt;=D177),"Vendu à perte ?",IF(AND(C177&lt;&gt;"",E177&lt;&gt;"",C177&gt;=E177),"Gros vendu à perte ?","")))))</f>
        <v>Prix détail manquant</v>
      </c>
    </row>
    <row r="178" customFormat="false" ht="15" hidden="false" customHeight="false" outlineLevel="0" collapsed="false">
      <c r="A178" s="8" t="s">
        <v>146</v>
      </c>
      <c r="B178" s="8" t="s">
        <v>208</v>
      </c>
      <c r="C178" s="9"/>
      <c r="D178" s="9" t="n">
        <v>500</v>
      </c>
      <c r="E178" s="9"/>
      <c r="F178" s="9"/>
      <c r="G178" s="10" t="str">
        <f aca="false">IF(B178="","",IF(D178="","Prix détail manquant",IF(AND(E178&lt;&gt;"",E178&gt;D178),"Prix gros plus cher que détail ?",IF(AND(C178&lt;&gt;"",C178&gt;=D178),"Vendu à perte ?",IF(AND(C178&lt;&gt;"",E178&lt;&gt;"",C178&gt;=E178),"Gros vendu à perte ?","")))))</f>
        <v/>
      </c>
    </row>
    <row r="179" customFormat="false" ht="15" hidden="false" customHeight="false" outlineLevel="0" collapsed="false">
      <c r="A179" s="8" t="s">
        <v>146</v>
      </c>
      <c r="B179" s="8" t="s">
        <v>209</v>
      </c>
      <c r="C179" s="9"/>
      <c r="D179" s="9" t="n">
        <v>170</v>
      </c>
      <c r="E179" s="9"/>
      <c r="F179" s="9"/>
      <c r="G179" s="10" t="str">
        <f aca="false">IF(B179="","",IF(D179="","Prix détail manquant",IF(AND(E179&lt;&gt;"",E179&gt;D179),"Prix gros plus cher que détail ?",IF(AND(C179&lt;&gt;"",C179&gt;=D179),"Vendu à perte ?",IF(AND(C179&lt;&gt;"",E179&lt;&gt;"",C179&gt;=E179),"Gros vendu à perte ?","")))))</f>
        <v/>
      </c>
    </row>
    <row r="180" customFormat="false" ht="15" hidden="false" customHeight="false" outlineLevel="0" collapsed="false">
      <c r="A180" s="8" t="s">
        <v>146</v>
      </c>
      <c r="B180" s="8" t="s">
        <v>210</v>
      </c>
      <c r="C180" s="9"/>
      <c r="D180" s="9" t="n">
        <v>1000</v>
      </c>
      <c r="E180" s="9"/>
      <c r="F180" s="9"/>
      <c r="G180" s="10" t="str">
        <f aca="false">IF(B180="","",IF(D180="","Prix détail manquant",IF(AND(E180&lt;&gt;"",E180&gt;D180),"Prix gros plus cher que détail ?",IF(AND(C180&lt;&gt;"",C180&gt;=D180),"Vendu à perte ?",IF(AND(C180&lt;&gt;"",E180&lt;&gt;"",C180&gt;=E180),"Gros vendu à perte ?","")))))</f>
        <v/>
      </c>
    </row>
    <row r="181" customFormat="false" ht="15" hidden="false" customHeight="false" outlineLevel="0" collapsed="false">
      <c r="A181" s="8" t="s">
        <v>146</v>
      </c>
      <c r="B181" s="8" t="s">
        <v>211</v>
      </c>
      <c r="C181" s="9"/>
      <c r="D181" s="9" t="n">
        <v>1500</v>
      </c>
      <c r="E181" s="9"/>
      <c r="F181" s="9"/>
      <c r="G181" s="10" t="str">
        <f aca="false">IF(B181="","",IF(D181="","Prix détail manquant",IF(AND(E181&lt;&gt;"",E181&gt;D181),"Prix gros plus cher que détail ?",IF(AND(C181&lt;&gt;"",C181&gt;=D181),"Vendu à perte ?",IF(AND(C181&lt;&gt;"",E181&lt;&gt;"",C181&gt;=E181),"Gros vendu à perte ?","")))))</f>
        <v/>
      </c>
    </row>
    <row r="182" customFormat="false" ht="15" hidden="false" customHeight="false" outlineLevel="0" collapsed="false">
      <c r="A182" s="8" t="s">
        <v>146</v>
      </c>
      <c r="B182" s="8" t="s">
        <v>212</v>
      </c>
      <c r="C182" s="9"/>
      <c r="D182" s="9" t="n">
        <v>1300</v>
      </c>
      <c r="E182" s="9"/>
      <c r="F182" s="9"/>
      <c r="G182" s="10" t="str">
        <f aca="false">IF(B182="","",IF(D182="","Prix détail manquant",IF(AND(E182&lt;&gt;"",E182&gt;D182),"Prix gros plus cher que détail ?",IF(AND(C182&lt;&gt;"",C182&gt;=D182),"Vendu à perte ?",IF(AND(C182&lt;&gt;"",E182&lt;&gt;"",C182&gt;=E182),"Gros vendu à perte ?","")))))</f>
        <v/>
      </c>
    </row>
    <row r="183" customFormat="false" ht="15" hidden="false" customHeight="false" outlineLevel="0" collapsed="false">
      <c r="A183" s="8" t="s">
        <v>146</v>
      </c>
      <c r="B183" s="8" t="s">
        <v>213</v>
      </c>
      <c r="C183" s="9"/>
      <c r="D183" s="9" t="n">
        <v>335</v>
      </c>
      <c r="E183" s="9"/>
      <c r="F183" s="9"/>
      <c r="G183" s="10" t="str">
        <f aca="false">IF(B183="","",IF(D183="","Prix détail manquant",IF(AND(E183&lt;&gt;"",E183&gt;D183),"Prix gros plus cher que détail ?",IF(AND(C183&lt;&gt;"",C183&gt;=D183),"Vendu à perte ?",IF(AND(C183&lt;&gt;"",E183&lt;&gt;"",C183&gt;=E183),"Gros vendu à perte ?","")))))</f>
        <v/>
      </c>
    </row>
    <row r="184" customFormat="false" ht="15" hidden="false" customHeight="false" outlineLevel="0" collapsed="false">
      <c r="A184" s="8" t="s">
        <v>146</v>
      </c>
      <c r="B184" s="8" t="s">
        <v>214</v>
      </c>
      <c r="C184" s="9"/>
      <c r="D184" s="9"/>
      <c r="E184" s="9"/>
      <c r="F184" s="9"/>
      <c r="G184" s="10" t="str">
        <f aca="false">IF(B184="","",IF(D184="","Prix détail manquant",IF(AND(E184&lt;&gt;"",E184&gt;D184),"Prix gros plus cher que détail ?",IF(AND(C184&lt;&gt;"",C184&gt;=D184),"Vendu à perte ?",IF(AND(C184&lt;&gt;"",E184&lt;&gt;"",C184&gt;=E184),"Gros vendu à perte ?","")))))</f>
        <v>Prix détail manquant</v>
      </c>
    </row>
    <row r="185" customFormat="false" ht="15" hidden="false" customHeight="false" outlineLevel="0" collapsed="false">
      <c r="A185" s="8" t="s">
        <v>146</v>
      </c>
      <c r="B185" s="8" t="s">
        <v>215</v>
      </c>
      <c r="C185" s="9"/>
      <c r="D185" s="9" t="n">
        <v>85</v>
      </c>
      <c r="E185" s="9"/>
      <c r="F185" s="9"/>
      <c r="G185" s="10" t="str">
        <f aca="false">IF(B185="","",IF(D185="","Prix détail manquant",IF(AND(E185&lt;&gt;"",E185&gt;D185),"Prix gros plus cher que détail ?",IF(AND(C185&lt;&gt;"",C185&gt;=D185),"Vendu à perte ?",IF(AND(C185&lt;&gt;"",E185&lt;&gt;"",C185&gt;=E185),"Gros vendu à perte ?","")))))</f>
        <v/>
      </c>
    </row>
    <row r="186" customFormat="false" ht="15" hidden="false" customHeight="false" outlineLevel="0" collapsed="false">
      <c r="A186" s="8" t="s">
        <v>146</v>
      </c>
      <c r="B186" s="8" t="s">
        <v>216</v>
      </c>
      <c r="C186" s="9"/>
      <c r="D186" s="9" t="n">
        <v>400</v>
      </c>
      <c r="E186" s="9"/>
      <c r="F186" s="9"/>
      <c r="G186" s="10" t="str">
        <f aca="false">IF(B186="","",IF(D186="","Prix détail manquant",IF(AND(E186&lt;&gt;"",E186&gt;D186),"Prix gros plus cher que détail ?",IF(AND(C186&lt;&gt;"",C186&gt;=D186),"Vendu à perte ?",IF(AND(C186&lt;&gt;"",E186&lt;&gt;"",C186&gt;=E186),"Gros vendu à perte ?","")))))</f>
        <v/>
      </c>
    </row>
    <row r="187" customFormat="false" ht="15" hidden="false" customHeight="false" outlineLevel="0" collapsed="false">
      <c r="A187" s="8" t="s">
        <v>146</v>
      </c>
      <c r="B187" s="8" t="s">
        <v>217</v>
      </c>
      <c r="C187" s="9"/>
      <c r="D187" s="9" t="n">
        <v>500</v>
      </c>
      <c r="E187" s="9"/>
      <c r="F187" s="9"/>
      <c r="G187" s="10" t="str">
        <f aca="false">IF(B187="","",IF(D187="","Prix détail manquant",IF(AND(E187&lt;&gt;"",E187&gt;D187),"Prix gros plus cher que détail ?",IF(AND(C187&lt;&gt;"",C187&gt;=D187),"Vendu à perte ?",IF(AND(C187&lt;&gt;"",E187&lt;&gt;"",C187&gt;=E187),"Gros vendu à perte ?","")))))</f>
        <v/>
      </c>
    </row>
    <row r="188" customFormat="false" ht="15" hidden="false" customHeight="false" outlineLevel="0" collapsed="false">
      <c r="A188" s="8" t="s">
        <v>146</v>
      </c>
      <c r="B188" s="8" t="s">
        <v>218</v>
      </c>
      <c r="C188" s="9"/>
      <c r="D188" s="9" t="n">
        <v>700</v>
      </c>
      <c r="E188" s="9"/>
      <c r="F188" s="9"/>
      <c r="G188" s="10" t="str">
        <f aca="false">IF(B188="","",IF(D188="","Prix détail manquant",IF(AND(E188&lt;&gt;"",E188&gt;D188),"Prix gros plus cher que détail ?",IF(AND(C188&lt;&gt;"",C188&gt;=D188),"Vendu à perte ?",IF(AND(C188&lt;&gt;"",E188&lt;&gt;"",C188&gt;=E188),"Gros vendu à perte ?","")))))</f>
        <v/>
      </c>
    </row>
    <row r="189" customFormat="false" ht="15" hidden="false" customHeight="false" outlineLevel="0" collapsed="false">
      <c r="A189" s="8" t="s">
        <v>146</v>
      </c>
      <c r="B189" s="8" t="s">
        <v>219</v>
      </c>
      <c r="C189" s="9"/>
      <c r="D189" s="9" t="n">
        <v>700</v>
      </c>
      <c r="E189" s="9"/>
      <c r="F189" s="9"/>
      <c r="G189" s="10" t="str">
        <f aca="false">IF(B189="","",IF(D189="","Prix détail manquant",IF(AND(E189&lt;&gt;"",E189&gt;D189),"Prix gros plus cher que détail ?",IF(AND(C189&lt;&gt;"",C189&gt;=D189),"Vendu à perte ?",IF(AND(C189&lt;&gt;"",E189&lt;&gt;"",C189&gt;=E189),"Gros vendu à perte ?","")))))</f>
        <v/>
      </c>
    </row>
    <row r="190" customFormat="false" ht="15" hidden="false" customHeight="false" outlineLevel="0" collapsed="false">
      <c r="A190" s="8" t="s">
        <v>146</v>
      </c>
      <c r="B190" s="8" t="s">
        <v>220</v>
      </c>
      <c r="C190" s="9"/>
      <c r="D190" s="9" t="n">
        <v>150</v>
      </c>
      <c r="E190" s="9"/>
      <c r="F190" s="9"/>
      <c r="G190" s="10" t="str">
        <f aca="false">IF(B190="","",IF(D190="","Prix détail manquant",IF(AND(E190&lt;&gt;"",E190&gt;D190),"Prix gros plus cher que détail ?",IF(AND(C190&lt;&gt;"",C190&gt;=D190),"Vendu à perte ?",IF(AND(C190&lt;&gt;"",E190&lt;&gt;"",C190&gt;=E190),"Gros vendu à perte ?","")))))</f>
        <v/>
      </c>
    </row>
    <row r="191" customFormat="false" ht="15" hidden="false" customHeight="false" outlineLevel="0" collapsed="false">
      <c r="A191" s="8" t="s">
        <v>146</v>
      </c>
      <c r="B191" s="8" t="s">
        <v>221</v>
      </c>
      <c r="C191" s="9"/>
      <c r="D191" s="9"/>
      <c r="E191" s="9"/>
      <c r="F191" s="9"/>
      <c r="G191" s="10" t="str">
        <f aca="false">IF(B191="","",IF(D191="","Prix détail manquant",IF(AND(E191&lt;&gt;"",E191&gt;D191),"Prix gros plus cher que détail ?",IF(AND(C191&lt;&gt;"",C191&gt;=D191),"Vendu à perte ?",IF(AND(C191&lt;&gt;"",E191&lt;&gt;"",C191&gt;=E191),"Gros vendu à perte ?","")))))</f>
        <v>Prix détail manquant</v>
      </c>
    </row>
    <row r="192" customFormat="false" ht="15" hidden="false" customHeight="false" outlineLevel="0" collapsed="false">
      <c r="A192" s="8" t="s">
        <v>146</v>
      </c>
      <c r="B192" s="8" t="s">
        <v>222</v>
      </c>
      <c r="C192" s="9"/>
      <c r="D192" s="9" t="n">
        <v>2000</v>
      </c>
      <c r="E192" s="9"/>
      <c r="F192" s="9"/>
      <c r="G192" s="10" t="str">
        <f aca="false">IF(B192="","",IF(D192="","Prix détail manquant",IF(AND(E192&lt;&gt;"",E192&gt;D192),"Prix gros plus cher que détail ?",IF(AND(C192&lt;&gt;"",C192&gt;=D192),"Vendu à perte ?",IF(AND(C192&lt;&gt;"",E192&lt;&gt;"",C192&gt;=E192),"Gros vendu à perte ?","")))))</f>
        <v/>
      </c>
    </row>
    <row r="193" customFormat="false" ht="15" hidden="false" customHeight="false" outlineLevel="0" collapsed="false">
      <c r="A193" s="8" t="s">
        <v>146</v>
      </c>
      <c r="B193" s="8" t="s">
        <v>223</v>
      </c>
      <c r="C193" s="9"/>
      <c r="D193" s="9" t="n">
        <v>1000</v>
      </c>
      <c r="E193" s="9"/>
      <c r="F193" s="9"/>
      <c r="G193" s="10" t="str">
        <f aca="false">IF(B193="","",IF(D193="","Prix détail manquant",IF(AND(E193&lt;&gt;"",E193&gt;D193),"Prix gros plus cher que détail ?",IF(AND(C193&lt;&gt;"",C193&gt;=D193),"Vendu à perte ?",IF(AND(C193&lt;&gt;"",E193&lt;&gt;"",C193&gt;=E193),"Gros vendu à perte ?","")))))</f>
        <v/>
      </c>
    </row>
    <row r="194" customFormat="false" ht="15" hidden="false" customHeight="false" outlineLevel="0" collapsed="false">
      <c r="A194" s="8" t="s">
        <v>146</v>
      </c>
      <c r="B194" s="8" t="s">
        <v>224</v>
      </c>
      <c r="C194" s="9"/>
      <c r="D194" s="9" t="n">
        <v>200</v>
      </c>
      <c r="E194" s="9"/>
      <c r="F194" s="9"/>
      <c r="G194" s="10" t="str">
        <f aca="false">IF(B194="","",IF(D194="","Prix détail manquant",IF(AND(E194&lt;&gt;"",E194&gt;D194),"Prix gros plus cher que détail ?",IF(AND(C194&lt;&gt;"",C194&gt;=D194),"Vendu à perte ?",IF(AND(C194&lt;&gt;"",E194&lt;&gt;"",C194&gt;=E194),"Gros vendu à perte ?","")))))</f>
        <v/>
      </c>
    </row>
    <row r="195" customFormat="false" ht="15" hidden="false" customHeight="false" outlineLevel="0" collapsed="false">
      <c r="A195" s="8" t="s">
        <v>146</v>
      </c>
      <c r="B195" s="8" t="s">
        <v>225</v>
      </c>
      <c r="C195" s="9"/>
      <c r="D195" s="9" t="n">
        <v>500</v>
      </c>
      <c r="E195" s="9"/>
      <c r="F195" s="9"/>
      <c r="G195" s="10" t="str">
        <f aca="false">IF(B195="","",IF(D195="","Prix détail manquant",IF(AND(E195&lt;&gt;"",E195&gt;D195),"Prix gros plus cher que détail ?",IF(AND(C195&lt;&gt;"",C195&gt;=D195),"Vendu à perte ?",IF(AND(C195&lt;&gt;"",E195&lt;&gt;"",C195&gt;=E195),"Gros vendu à perte ?","")))))</f>
        <v/>
      </c>
    </row>
    <row r="196" customFormat="false" ht="15" hidden="false" customHeight="false" outlineLevel="0" collapsed="false">
      <c r="A196" s="8" t="s">
        <v>146</v>
      </c>
      <c r="B196" s="8" t="s">
        <v>226</v>
      </c>
      <c r="C196" s="9"/>
      <c r="D196" s="9" t="n">
        <v>1000</v>
      </c>
      <c r="E196" s="9"/>
      <c r="F196" s="9"/>
      <c r="G196" s="10" t="str">
        <f aca="false">IF(B196="","",IF(D196="","Prix détail manquant",IF(AND(E196&lt;&gt;"",E196&gt;D196),"Prix gros plus cher que détail ?",IF(AND(C196&lt;&gt;"",C196&gt;=D196),"Vendu à perte ?",IF(AND(C196&lt;&gt;"",E196&lt;&gt;"",C196&gt;=E196),"Gros vendu à perte ?","")))))</f>
        <v/>
      </c>
    </row>
    <row r="197" customFormat="false" ht="15" hidden="false" customHeight="false" outlineLevel="0" collapsed="false">
      <c r="A197" s="8" t="s">
        <v>146</v>
      </c>
      <c r="B197" s="8" t="s">
        <v>227</v>
      </c>
      <c r="C197" s="9"/>
      <c r="D197" s="9" t="n">
        <v>200</v>
      </c>
      <c r="E197" s="9"/>
      <c r="F197" s="9"/>
      <c r="G197" s="10" t="str">
        <f aca="false">IF(B197="","",IF(D197="","Prix détail manquant",IF(AND(E197&lt;&gt;"",E197&gt;D197),"Prix gros plus cher que détail ?",IF(AND(C197&lt;&gt;"",C197&gt;=D197),"Vendu à perte ?",IF(AND(C197&lt;&gt;"",E197&lt;&gt;"",C197&gt;=E197),"Gros vendu à perte ?","")))))</f>
        <v/>
      </c>
    </row>
    <row r="198" customFormat="false" ht="15" hidden="false" customHeight="false" outlineLevel="0" collapsed="false">
      <c r="A198" s="8" t="s">
        <v>146</v>
      </c>
      <c r="B198" s="8" t="s">
        <v>228</v>
      </c>
      <c r="C198" s="9"/>
      <c r="D198" s="9" t="n">
        <v>700</v>
      </c>
      <c r="E198" s="9"/>
      <c r="F198" s="9"/>
      <c r="G198" s="10" t="str">
        <f aca="false">IF(B198="","",IF(D198="","Prix détail manquant",IF(AND(E198&lt;&gt;"",E198&gt;D198),"Prix gros plus cher que détail ?",IF(AND(C198&lt;&gt;"",C198&gt;=D198),"Vendu à perte ?",IF(AND(C198&lt;&gt;"",E198&lt;&gt;"",C198&gt;=E198),"Gros vendu à perte ?","")))))</f>
        <v/>
      </c>
    </row>
    <row r="199" customFormat="false" ht="15" hidden="false" customHeight="false" outlineLevel="0" collapsed="false">
      <c r="A199" s="8" t="s">
        <v>146</v>
      </c>
      <c r="B199" s="8" t="s">
        <v>229</v>
      </c>
      <c r="C199" s="9"/>
      <c r="D199" s="9" t="n">
        <v>500</v>
      </c>
      <c r="E199" s="9"/>
      <c r="F199" s="9"/>
      <c r="G199" s="10" t="str">
        <f aca="false">IF(B199="","",IF(D199="","Prix détail manquant",IF(AND(E199&lt;&gt;"",E199&gt;D199),"Prix gros plus cher que détail ?",IF(AND(C199&lt;&gt;"",C199&gt;=D199),"Vendu à perte ?",IF(AND(C199&lt;&gt;"",E199&lt;&gt;"",C199&gt;=E199),"Gros vendu à perte ?","")))))</f>
        <v/>
      </c>
    </row>
    <row r="200" customFormat="false" ht="15" hidden="false" customHeight="false" outlineLevel="0" collapsed="false">
      <c r="A200" s="8" t="s">
        <v>146</v>
      </c>
      <c r="B200" s="8" t="s">
        <v>230</v>
      </c>
      <c r="C200" s="9"/>
      <c r="D200" s="9" t="n">
        <v>335</v>
      </c>
      <c r="E200" s="9"/>
      <c r="F200" s="9"/>
      <c r="G200" s="10" t="str">
        <f aca="false">IF(B200="","",IF(D200="","Prix détail manquant",IF(AND(E200&lt;&gt;"",E200&gt;D200),"Prix gros plus cher que détail ?",IF(AND(C200&lt;&gt;"",C200&gt;=D200),"Vendu à perte ?",IF(AND(C200&lt;&gt;"",E200&lt;&gt;"",C200&gt;=E200),"Gros vendu à perte ?","")))))</f>
        <v/>
      </c>
    </row>
    <row r="201" customFormat="false" ht="15" hidden="false" customHeight="false" outlineLevel="0" collapsed="false">
      <c r="A201" s="8" t="s">
        <v>146</v>
      </c>
      <c r="B201" s="8" t="s">
        <v>231</v>
      </c>
      <c r="C201" s="9"/>
      <c r="D201" s="9" t="n">
        <v>1000</v>
      </c>
      <c r="E201" s="9"/>
      <c r="F201" s="9"/>
      <c r="G201" s="10" t="str">
        <f aca="false">IF(B201="","",IF(D201="","Prix détail manquant",IF(AND(E201&lt;&gt;"",E201&gt;D201),"Prix gros plus cher que détail ?",IF(AND(C201&lt;&gt;"",C201&gt;=D201),"Vendu à perte ?",IF(AND(C201&lt;&gt;"",E201&lt;&gt;"",C201&gt;=E201),"Gros vendu à perte ?","")))))</f>
        <v/>
      </c>
    </row>
    <row r="202" customFormat="false" ht="15" hidden="false" customHeight="false" outlineLevel="0" collapsed="false">
      <c r="A202" s="8" t="s">
        <v>146</v>
      </c>
      <c r="B202" s="8" t="s">
        <v>232</v>
      </c>
      <c r="C202" s="9"/>
      <c r="D202" s="9" t="n">
        <v>250</v>
      </c>
      <c r="E202" s="9"/>
      <c r="F202" s="9"/>
      <c r="G202" s="10" t="str">
        <f aca="false">IF(B202="","",IF(D202="","Prix détail manquant",IF(AND(E202&lt;&gt;"",E202&gt;D202),"Prix gros plus cher que détail ?",IF(AND(C202&lt;&gt;"",C202&gt;=D202),"Vendu à perte ?",IF(AND(C202&lt;&gt;"",E202&lt;&gt;"",C202&gt;=E202),"Gros vendu à perte ?","")))))</f>
        <v/>
      </c>
    </row>
    <row r="203" customFormat="false" ht="15" hidden="false" customHeight="false" outlineLevel="0" collapsed="false">
      <c r="A203" s="8" t="s">
        <v>146</v>
      </c>
      <c r="B203" s="8" t="s">
        <v>233</v>
      </c>
      <c r="C203" s="9"/>
      <c r="D203" s="9" t="n">
        <v>335</v>
      </c>
      <c r="E203" s="9"/>
      <c r="F203" s="9"/>
      <c r="G203" s="10" t="str">
        <f aca="false">IF(B203="","",IF(D203="","Prix détail manquant",IF(AND(E203&lt;&gt;"",E203&gt;D203),"Prix gros plus cher que détail ?",IF(AND(C203&lt;&gt;"",C203&gt;=D203),"Vendu à perte ?",IF(AND(C203&lt;&gt;"",E203&lt;&gt;"",C203&gt;=E203),"Gros vendu à perte ?","")))))</f>
        <v/>
      </c>
    </row>
    <row r="204" customFormat="false" ht="15" hidden="false" customHeight="false" outlineLevel="0" collapsed="false">
      <c r="A204" s="8" t="s">
        <v>146</v>
      </c>
      <c r="B204" s="8" t="s">
        <v>234</v>
      </c>
      <c r="C204" s="9"/>
      <c r="D204" s="9" t="n">
        <v>6000</v>
      </c>
      <c r="E204" s="9"/>
      <c r="F204" s="9"/>
      <c r="G204" s="10" t="str">
        <f aca="false">IF(B204="","",IF(D204="","Prix détail manquant",IF(AND(E204&lt;&gt;"",E204&gt;D204),"Prix gros plus cher que détail ?",IF(AND(C204&lt;&gt;"",C204&gt;=D204),"Vendu à perte ?",IF(AND(C204&lt;&gt;"",E204&lt;&gt;"",C204&gt;=E204),"Gros vendu à perte ?","")))))</f>
        <v/>
      </c>
    </row>
    <row r="205" customFormat="false" ht="15" hidden="false" customHeight="false" outlineLevel="0" collapsed="false">
      <c r="A205" s="8" t="s">
        <v>146</v>
      </c>
      <c r="B205" s="8" t="s">
        <v>235</v>
      </c>
      <c r="C205" s="9"/>
      <c r="D205" s="9" t="n">
        <v>6000</v>
      </c>
      <c r="E205" s="9"/>
      <c r="F205" s="9"/>
      <c r="G205" s="10" t="str">
        <f aca="false">IF(B205="","",IF(D205="","Prix détail manquant",IF(AND(E205&lt;&gt;"",E205&gt;D205),"Prix gros plus cher que détail ?",IF(AND(C205&lt;&gt;"",C205&gt;=D205),"Vendu à perte ?",IF(AND(C205&lt;&gt;"",E205&lt;&gt;"",C205&gt;=E205),"Gros vendu à perte ?","")))))</f>
        <v/>
      </c>
    </row>
    <row r="206" customFormat="false" ht="15" hidden="false" customHeight="false" outlineLevel="0" collapsed="false">
      <c r="A206" s="8" t="s">
        <v>146</v>
      </c>
      <c r="B206" s="8" t="s">
        <v>236</v>
      </c>
      <c r="C206" s="9"/>
      <c r="D206" s="9" t="n">
        <v>335</v>
      </c>
      <c r="E206" s="9"/>
      <c r="F206" s="9"/>
      <c r="G206" s="10" t="str">
        <f aca="false">IF(B206="","",IF(D206="","Prix détail manquant",IF(AND(E206&lt;&gt;"",E206&gt;D206),"Prix gros plus cher que détail ?",IF(AND(C206&lt;&gt;"",C206&gt;=D206),"Vendu à perte ?",IF(AND(C206&lt;&gt;"",E206&lt;&gt;"",C206&gt;=E206),"Gros vendu à perte ?","")))))</f>
        <v/>
      </c>
    </row>
    <row r="207" customFormat="false" ht="15" hidden="false" customHeight="false" outlineLevel="0" collapsed="false">
      <c r="A207" s="8" t="s">
        <v>146</v>
      </c>
      <c r="B207" s="8" t="s">
        <v>237</v>
      </c>
      <c r="C207" s="9"/>
      <c r="D207" s="9" t="n">
        <v>170</v>
      </c>
      <c r="E207" s="9"/>
      <c r="F207" s="9"/>
      <c r="G207" s="10" t="str">
        <f aca="false">IF(B207="","",IF(D207="","Prix détail manquant",IF(AND(E207&lt;&gt;"",E207&gt;D207),"Prix gros plus cher que détail ?",IF(AND(C207&lt;&gt;"",C207&gt;=D207),"Vendu à perte ?",IF(AND(C207&lt;&gt;"",E207&lt;&gt;"",C207&gt;=E207),"Gros vendu à perte ?","")))))</f>
        <v/>
      </c>
    </row>
    <row r="208" customFormat="false" ht="15" hidden="false" customHeight="false" outlineLevel="0" collapsed="false">
      <c r="A208" s="8" t="s">
        <v>146</v>
      </c>
      <c r="B208" s="8" t="s">
        <v>238</v>
      </c>
      <c r="C208" s="9"/>
      <c r="D208" s="9" t="n">
        <v>435</v>
      </c>
      <c r="E208" s="9"/>
      <c r="F208" s="9"/>
      <c r="G208" s="10" t="str">
        <f aca="false">IF(B208="","",IF(D208="","Prix détail manquant",IF(AND(E208&lt;&gt;"",E208&gt;D208),"Prix gros plus cher que détail ?",IF(AND(C208&lt;&gt;"",C208&gt;=D208),"Vendu à perte ?",IF(AND(C208&lt;&gt;"",E208&lt;&gt;"",C208&gt;=E208),"Gros vendu à perte ?","")))))</f>
        <v/>
      </c>
    </row>
    <row r="209" customFormat="false" ht="15" hidden="false" customHeight="false" outlineLevel="0" collapsed="false">
      <c r="A209" s="8" t="s">
        <v>146</v>
      </c>
      <c r="B209" s="8" t="s">
        <v>239</v>
      </c>
      <c r="C209" s="9"/>
      <c r="D209" s="9" t="n">
        <v>500</v>
      </c>
      <c r="E209" s="9"/>
      <c r="F209" s="9"/>
      <c r="G209" s="10" t="str">
        <f aca="false">IF(B209="","",IF(D209="","Prix détail manquant",IF(AND(E209&lt;&gt;"",E209&gt;D209),"Prix gros plus cher que détail ?",IF(AND(C209&lt;&gt;"",C209&gt;=D209),"Vendu à perte ?",IF(AND(C209&lt;&gt;"",E209&lt;&gt;"",C209&gt;=E209),"Gros vendu à perte ?","")))))</f>
        <v/>
      </c>
    </row>
    <row r="210" customFormat="false" ht="15" hidden="false" customHeight="false" outlineLevel="0" collapsed="false">
      <c r="A210" s="8" t="s">
        <v>146</v>
      </c>
      <c r="B210" s="8" t="s">
        <v>240</v>
      </c>
      <c r="C210" s="9"/>
      <c r="D210" s="9" t="n">
        <v>200</v>
      </c>
      <c r="E210" s="9"/>
      <c r="F210" s="9"/>
      <c r="G210" s="10" t="str">
        <f aca="false">IF(B210="","",IF(D210="","Prix détail manquant",IF(AND(E210&lt;&gt;"",E210&gt;D210),"Prix gros plus cher que détail ?",IF(AND(C210&lt;&gt;"",C210&gt;=D210),"Vendu à perte ?",IF(AND(C210&lt;&gt;"",E210&lt;&gt;"",C210&gt;=E210),"Gros vendu à perte ?","")))))</f>
        <v/>
      </c>
    </row>
    <row r="211" customFormat="false" ht="15" hidden="false" customHeight="false" outlineLevel="0" collapsed="false">
      <c r="A211" s="8" t="s">
        <v>146</v>
      </c>
      <c r="B211" s="8" t="s">
        <v>241</v>
      </c>
      <c r="C211" s="9"/>
      <c r="D211" s="9" t="n">
        <v>135</v>
      </c>
      <c r="E211" s="9"/>
      <c r="F211" s="9"/>
      <c r="G211" s="10" t="str">
        <f aca="false">IF(B211="","",IF(D211="","Prix détail manquant",IF(AND(E211&lt;&gt;"",E211&gt;D211),"Prix gros plus cher que détail ?",IF(AND(C211&lt;&gt;"",C211&gt;=D211),"Vendu à perte ?",IF(AND(C211&lt;&gt;"",E211&lt;&gt;"",C211&gt;=E211),"Gros vendu à perte ?","")))))</f>
        <v/>
      </c>
    </row>
    <row r="212" customFormat="false" ht="15" hidden="false" customHeight="false" outlineLevel="0" collapsed="false">
      <c r="A212" s="8" t="s">
        <v>146</v>
      </c>
      <c r="B212" s="8" t="s">
        <v>242</v>
      </c>
      <c r="C212" s="9"/>
      <c r="D212" s="9" t="n">
        <v>1000</v>
      </c>
      <c r="E212" s="9"/>
      <c r="F212" s="9"/>
      <c r="G212" s="10" t="str">
        <f aca="false">IF(B212="","",IF(D212="","Prix détail manquant",IF(AND(E212&lt;&gt;"",E212&gt;D212),"Prix gros plus cher que détail ?",IF(AND(C212&lt;&gt;"",C212&gt;=D212),"Vendu à perte ?",IF(AND(C212&lt;&gt;"",E212&lt;&gt;"",C212&gt;=E212),"Gros vendu à perte ?","")))))</f>
        <v/>
      </c>
    </row>
    <row r="213" customFormat="false" ht="15" hidden="false" customHeight="false" outlineLevel="0" collapsed="false">
      <c r="A213" s="8" t="s">
        <v>146</v>
      </c>
      <c r="B213" s="8" t="s">
        <v>243</v>
      </c>
      <c r="C213" s="9"/>
      <c r="D213" s="9" t="n">
        <v>335</v>
      </c>
      <c r="E213" s="9"/>
      <c r="F213" s="9"/>
      <c r="G213" s="10" t="str">
        <f aca="false">IF(B213="","",IF(D213="","Prix détail manquant",IF(AND(E213&lt;&gt;"",E213&gt;D213),"Prix gros plus cher que détail ?",IF(AND(C213&lt;&gt;"",C213&gt;=D213),"Vendu à perte ?",IF(AND(C213&lt;&gt;"",E213&lt;&gt;"",C213&gt;=E213),"Gros vendu à perte ?","")))))</f>
        <v/>
      </c>
    </row>
    <row r="214" customFormat="false" ht="15" hidden="false" customHeight="false" outlineLevel="0" collapsed="false">
      <c r="A214" s="8" t="s">
        <v>146</v>
      </c>
      <c r="B214" s="8" t="s">
        <v>244</v>
      </c>
      <c r="C214" s="9"/>
      <c r="D214" s="9"/>
      <c r="E214" s="9"/>
      <c r="F214" s="9"/>
      <c r="G214" s="10" t="str">
        <f aca="false">IF(B214="","",IF(D214="","Prix détail manquant",IF(AND(E214&lt;&gt;"",E214&gt;D214),"Prix gros plus cher que détail ?",IF(AND(C214&lt;&gt;"",C214&gt;=D214),"Vendu à perte ?",IF(AND(C214&lt;&gt;"",E214&lt;&gt;"",C214&gt;=E214),"Gros vendu à perte ?","")))))</f>
        <v>Prix détail manquant</v>
      </c>
    </row>
    <row r="215" customFormat="false" ht="15" hidden="false" customHeight="false" outlineLevel="0" collapsed="false">
      <c r="A215" s="8" t="s">
        <v>146</v>
      </c>
      <c r="B215" s="8" t="s">
        <v>245</v>
      </c>
      <c r="C215" s="9"/>
      <c r="D215" s="9" t="n">
        <v>1000</v>
      </c>
      <c r="E215" s="9"/>
      <c r="F215" s="9"/>
      <c r="G215" s="10" t="str">
        <f aca="false">IF(B215="","",IF(D215="","Prix détail manquant",IF(AND(E215&lt;&gt;"",E215&gt;D215),"Prix gros plus cher que détail ?",IF(AND(C215&lt;&gt;"",C215&gt;=D215),"Vendu à perte ?",IF(AND(C215&lt;&gt;"",E215&lt;&gt;"",C215&gt;=E215),"Gros vendu à perte ?","")))))</f>
        <v/>
      </c>
    </row>
    <row r="216" customFormat="false" ht="15" hidden="false" customHeight="false" outlineLevel="0" collapsed="false">
      <c r="A216" s="8" t="s">
        <v>146</v>
      </c>
      <c r="B216" s="8" t="s">
        <v>246</v>
      </c>
      <c r="C216" s="9"/>
      <c r="D216" s="9"/>
      <c r="E216" s="9"/>
      <c r="F216" s="9"/>
      <c r="G216" s="10" t="str">
        <f aca="false">IF(B216="","",IF(D216="","Prix détail manquant",IF(AND(E216&lt;&gt;"",E216&gt;D216),"Prix gros plus cher que détail ?",IF(AND(C216&lt;&gt;"",C216&gt;=D216),"Vendu à perte ?",IF(AND(C216&lt;&gt;"",E216&lt;&gt;"",C216&gt;=E216),"Gros vendu à perte ?","")))))</f>
        <v>Prix détail manquant</v>
      </c>
    </row>
    <row r="217" customFormat="false" ht="15" hidden="false" customHeight="false" outlineLevel="0" collapsed="false">
      <c r="A217" s="8" t="s">
        <v>146</v>
      </c>
      <c r="B217" s="8" t="s">
        <v>247</v>
      </c>
      <c r="C217" s="9"/>
      <c r="D217" s="9" t="n">
        <v>1000</v>
      </c>
      <c r="E217" s="9"/>
      <c r="F217" s="9"/>
      <c r="G217" s="10" t="str">
        <f aca="false">IF(B217="","",IF(D217="","Prix détail manquant",IF(AND(E217&lt;&gt;"",E217&gt;D217),"Prix gros plus cher que détail ?",IF(AND(C217&lt;&gt;"",C217&gt;=D217),"Vendu à perte ?",IF(AND(C217&lt;&gt;"",E217&lt;&gt;"",C217&gt;=E217),"Gros vendu à perte ?","")))))</f>
        <v/>
      </c>
    </row>
    <row r="218" customFormat="false" ht="15" hidden="false" customHeight="false" outlineLevel="0" collapsed="false">
      <c r="A218" s="8" t="s">
        <v>146</v>
      </c>
      <c r="B218" s="8" t="s">
        <v>248</v>
      </c>
      <c r="C218" s="9"/>
      <c r="D218" s="9" t="n">
        <v>665</v>
      </c>
      <c r="E218" s="9"/>
      <c r="F218" s="9"/>
      <c r="G218" s="10" t="str">
        <f aca="false">IF(B218="","",IF(D218="","Prix détail manquant",IF(AND(E218&lt;&gt;"",E218&gt;D218),"Prix gros plus cher que détail ?",IF(AND(C218&lt;&gt;"",C218&gt;=D218),"Vendu à perte ?",IF(AND(C218&lt;&gt;"",E218&lt;&gt;"",C218&gt;=E218),"Gros vendu à perte ?","")))))</f>
        <v/>
      </c>
    </row>
    <row r="219" customFormat="false" ht="15" hidden="false" customHeight="false" outlineLevel="0" collapsed="false">
      <c r="A219" s="8" t="s">
        <v>146</v>
      </c>
      <c r="B219" s="8" t="s">
        <v>249</v>
      </c>
      <c r="C219" s="9"/>
      <c r="D219" s="9"/>
      <c r="E219" s="9"/>
      <c r="F219" s="9"/>
      <c r="G219" s="10" t="str">
        <f aca="false">IF(B219="","",IF(D219="","Prix détail manquant",IF(AND(E219&lt;&gt;"",E219&gt;D219),"Prix gros plus cher que détail ?",IF(AND(C219&lt;&gt;"",C219&gt;=D219),"Vendu à perte ?",IF(AND(C219&lt;&gt;"",E219&lt;&gt;"",C219&gt;=E219),"Gros vendu à perte ?","")))))</f>
        <v>Prix détail manquant</v>
      </c>
    </row>
    <row r="220" customFormat="false" ht="15" hidden="false" customHeight="false" outlineLevel="0" collapsed="false">
      <c r="A220" s="8" t="s">
        <v>146</v>
      </c>
      <c r="B220" s="8" t="s">
        <v>250</v>
      </c>
      <c r="C220" s="9"/>
      <c r="D220" s="9" t="n">
        <v>200</v>
      </c>
      <c r="E220" s="9"/>
      <c r="F220" s="9"/>
      <c r="G220" s="10" t="str">
        <f aca="false">IF(B220="","",IF(D220="","Prix détail manquant",IF(AND(E220&lt;&gt;"",E220&gt;D220),"Prix gros plus cher que détail ?",IF(AND(C220&lt;&gt;"",C220&gt;=D220),"Vendu à perte ?",IF(AND(C220&lt;&gt;"",E220&lt;&gt;"",C220&gt;=E220),"Gros vendu à perte ?","")))))</f>
        <v/>
      </c>
    </row>
    <row r="221" customFormat="false" ht="15" hidden="false" customHeight="false" outlineLevel="0" collapsed="false">
      <c r="A221" s="8" t="s">
        <v>146</v>
      </c>
      <c r="B221" s="8" t="s">
        <v>251</v>
      </c>
      <c r="C221" s="9"/>
      <c r="D221" s="9" t="n">
        <v>125</v>
      </c>
      <c r="E221" s="9"/>
      <c r="F221" s="9"/>
      <c r="G221" s="10" t="str">
        <f aca="false">IF(B221="","",IF(D221="","Prix détail manquant",IF(AND(E221&lt;&gt;"",E221&gt;D221),"Prix gros plus cher que détail ?",IF(AND(C221&lt;&gt;"",C221&gt;=D221),"Vendu à perte ?",IF(AND(C221&lt;&gt;"",E221&lt;&gt;"",C221&gt;=E221),"Gros vendu à perte ?","")))))</f>
        <v/>
      </c>
    </row>
    <row r="222" customFormat="false" ht="15" hidden="false" customHeight="false" outlineLevel="0" collapsed="false">
      <c r="A222" s="8" t="s">
        <v>146</v>
      </c>
      <c r="B222" s="8" t="s">
        <v>252</v>
      </c>
      <c r="C222" s="9"/>
      <c r="D222" s="9" t="n">
        <v>1500</v>
      </c>
      <c r="E222" s="9"/>
      <c r="F222" s="9"/>
      <c r="G222" s="10" t="str">
        <f aca="false">IF(B222="","",IF(D222="","Prix détail manquant",IF(AND(E222&lt;&gt;"",E222&gt;D222),"Prix gros plus cher que détail ?",IF(AND(C222&lt;&gt;"",C222&gt;=D222),"Vendu à perte ?",IF(AND(C222&lt;&gt;"",E222&lt;&gt;"",C222&gt;=E222),"Gros vendu à perte ?","")))))</f>
        <v/>
      </c>
    </row>
    <row r="223" customFormat="false" ht="15" hidden="false" customHeight="false" outlineLevel="0" collapsed="false">
      <c r="A223" s="8" t="s">
        <v>146</v>
      </c>
      <c r="B223" s="8" t="s">
        <v>253</v>
      </c>
      <c r="C223" s="9"/>
      <c r="D223" s="9" t="n">
        <v>1000</v>
      </c>
      <c r="E223" s="9"/>
      <c r="F223" s="9"/>
      <c r="G223" s="10" t="str">
        <f aca="false">IF(B223="","",IF(D223="","Prix détail manquant",IF(AND(E223&lt;&gt;"",E223&gt;D223),"Prix gros plus cher que détail ?",IF(AND(C223&lt;&gt;"",C223&gt;=D223),"Vendu à perte ?",IF(AND(C223&lt;&gt;"",E223&lt;&gt;"",C223&gt;=E223),"Gros vendu à perte ?","")))))</f>
        <v/>
      </c>
    </row>
    <row r="224" customFormat="false" ht="15" hidden="false" customHeight="false" outlineLevel="0" collapsed="false">
      <c r="A224" s="8" t="s">
        <v>146</v>
      </c>
      <c r="B224" s="8" t="s">
        <v>254</v>
      </c>
      <c r="C224" s="9"/>
      <c r="D224" s="9" t="n">
        <v>1000</v>
      </c>
      <c r="E224" s="9"/>
      <c r="F224" s="9"/>
      <c r="G224" s="10" t="str">
        <f aca="false">IF(B224="","",IF(D224="","Prix détail manquant",IF(AND(E224&lt;&gt;"",E224&gt;D224),"Prix gros plus cher que détail ?",IF(AND(C224&lt;&gt;"",C224&gt;=D224),"Vendu à perte ?",IF(AND(C224&lt;&gt;"",E224&lt;&gt;"",C224&gt;=E224),"Gros vendu à perte ?","")))))</f>
        <v/>
      </c>
    </row>
    <row r="225" customFormat="false" ht="15" hidden="false" customHeight="false" outlineLevel="0" collapsed="false">
      <c r="A225" s="8" t="s">
        <v>146</v>
      </c>
      <c r="B225" s="8" t="s">
        <v>255</v>
      </c>
      <c r="C225" s="9"/>
      <c r="D225" s="9" t="n">
        <v>1000</v>
      </c>
      <c r="E225" s="9"/>
      <c r="F225" s="9"/>
      <c r="G225" s="10" t="str">
        <f aca="false">IF(B225="","",IF(D225="","Prix détail manquant",IF(AND(E225&lt;&gt;"",E225&gt;D225),"Prix gros plus cher que détail ?",IF(AND(C225&lt;&gt;"",C225&gt;=D225),"Vendu à perte ?",IF(AND(C225&lt;&gt;"",E225&lt;&gt;"",C225&gt;=E225),"Gros vendu à perte ?","")))))</f>
        <v/>
      </c>
    </row>
    <row r="226" customFormat="false" ht="15" hidden="false" customHeight="false" outlineLevel="0" collapsed="false">
      <c r="A226" s="8" t="s">
        <v>146</v>
      </c>
      <c r="B226" s="8" t="s">
        <v>256</v>
      </c>
      <c r="C226" s="9"/>
      <c r="D226" s="9" t="n">
        <v>1000</v>
      </c>
      <c r="E226" s="9"/>
      <c r="F226" s="9"/>
      <c r="G226" s="10" t="str">
        <f aca="false">IF(B226="","",IF(D226="","Prix détail manquant",IF(AND(E226&lt;&gt;"",E226&gt;D226),"Prix gros plus cher que détail ?",IF(AND(C226&lt;&gt;"",C226&gt;=D226),"Vendu à perte ?",IF(AND(C226&lt;&gt;"",E226&lt;&gt;"",C226&gt;=E226),"Gros vendu à perte ?","")))))</f>
        <v/>
      </c>
    </row>
    <row r="227" customFormat="false" ht="15" hidden="false" customHeight="false" outlineLevel="0" collapsed="false">
      <c r="A227" s="8" t="s">
        <v>146</v>
      </c>
      <c r="B227" s="8" t="s">
        <v>257</v>
      </c>
      <c r="C227" s="9"/>
      <c r="D227" s="9" t="n">
        <v>1200</v>
      </c>
      <c r="E227" s="9"/>
      <c r="F227" s="9"/>
      <c r="G227" s="10" t="str">
        <f aca="false">IF(B227="","",IF(D227="","Prix détail manquant",IF(AND(E227&lt;&gt;"",E227&gt;D227),"Prix gros plus cher que détail ?",IF(AND(C227&lt;&gt;"",C227&gt;=D227),"Vendu à perte ?",IF(AND(C227&lt;&gt;"",E227&lt;&gt;"",C227&gt;=E227),"Gros vendu à perte ?","")))))</f>
        <v/>
      </c>
    </row>
    <row r="228" customFormat="false" ht="15" hidden="false" customHeight="false" outlineLevel="0" collapsed="false">
      <c r="A228" s="8" t="s">
        <v>146</v>
      </c>
      <c r="B228" s="8" t="s">
        <v>258</v>
      </c>
      <c r="C228" s="9"/>
      <c r="D228" s="9" t="n">
        <v>1000</v>
      </c>
      <c r="E228" s="9"/>
      <c r="F228" s="9"/>
      <c r="G228" s="10" t="str">
        <f aca="false">IF(B228="","",IF(D228="","Prix détail manquant",IF(AND(E228&lt;&gt;"",E228&gt;D228),"Prix gros plus cher que détail ?",IF(AND(C228&lt;&gt;"",C228&gt;=D228),"Vendu à perte ?",IF(AND(C228&lt;&gt;"",E228&lt;&gt;"",C228&gt;=E228),"Gros vendu à perte ?","")))))</f>
        <v/>
      </c>
    </row>
    <row r="229" customFormat="false" ht="15" hidden="false" customHeight="false" outlineLevel="0" collapsed="false">
      <c r="A229" s="8" t="s">
        <v>146</v>
      </c>
      <c r="B229" s="8" t="s">
        <v>259</v>
      </c>
      <c r="C229" s="9"/>
      <c r="D229" s="9" t="n">
        <v>800</v>
      </c>
      <c r="E229" s="9"/>
      <c r="F229" s="9"/>
      <c r="G229" s="10" t="str">
        <f aca="false">IF(B229="","",IF(D229="","Prix détail manquant",IF(AND(E229&lt;&gt;"",E229&gt;D229),"Prix gros plus cher que détail ?",IF(AND(C229&lt;&gt;"",C229&gt;=D229),"Vendu à perte ?",IF(AND(C229&lt;&gt;"",E229&lt;&gt;"",C229&gt;=E229),"Gros vendu à perte ?","")))))</f>
        <v/>
      </c>
    </row>
    <row r="230" customFormat="false" ht="15" hidden="false" customHeight="false" outlineLevel="0" collapsed="false">
      <c r="A230" s="8" t="s">
        <v>146</v>
      </c>
      <c r="B230" s="8" t="s">
        <v>260</v>
      </c>
      <c r="C230" s="9"/>
      <c r="D230" s="9" t="n">
        <v>1600</v>
      </c>
      <c r="E230" s="9"/>
      <c r="F230" s="9"/>
      <c r="G230" s="10" t="str">
        <f aca="false">IF(B230="","",IF(D230="","Prix détail manquant",IF(AND(E230&lt;&gt;"",E230&gt;D230),"Prix gros plus cher que détail ?",IF(AND(C230&lt;&gt;"",C230&gt;=D230),"Vendu à perte ?",IF(AND(C230&lt;&gt;"",E230&lt;&gt;"",C230&gt;=E230),"Gros vendu à perte ?","")))))</f>
        <v/>
      </c>
    </row>
    <row r="231" customFormat="false" ht="15" hidden="false" customHeight="false" outlineLevel="0" collapsed="false">
      <c r="A231" s="8" t="s">
        <v>146</v>
      </c>
      <c r="B231" s="8" t="s">
        <v>261</v>
      </c>
      <c r="C231" s="9"/>
      <c r="D231" s="9" t="n">
        <v>1500</v>
      </c>
      <c r="E231" s="9"/>
      <c r="F231" s="9"/>
      <c r="G231" s="10" t="str">
        <f aca="false">IF(B231="","",IF(D231="","Prix détail manquant",IF(AND(E231&lt;&gt;"",E231&gt;D231),"Prix gros plus cher que détail ?",IF(AND(C231&lt;&gt;"",C231&gt;=D231),"Vendu à perte ?",IF(AND(C231&lt;&gt;"",E231&lt;&gt;"",C231&gt;=E231),"Gros vendu à perte ?","")))))</f>
        <v/>
      </c>
    </row>
    <row r="232" customFormat="false" ht="15" hidden="false" customHeight="false" outlineLevel="0" collapsed="false">
      <c r="A232" s="8" t="s">
        <v>146</v>
      </c>
      <c r="B232" s="8" t="s">
        <v>262</v>
      </c>
      <c r="C232" s="9"/>
      <c r="D232" s="9" t="n">
        <v>800</v>
      </c>
      <c r="E232" s="9"/>
      <c r="F232" s="9"/>
      <c r="G232" s="10" t="str">
        <f aca="false">IF(B232="","",IF(D232="","Prix détail manquant",IF(AND(E232&lt;&gt;"",E232&gt;D232),"Prix gros plus cher que détail ?",IF(AND(C232&lt;&gt;"",C232&gt;=D232),"Vendu à perte ?",IF(AND(C232&lt;&gt;"",E232&lt;&gt;"",C232&gt;=E232),"Gros vendu à perte ?","")))))</f>
        <v/>
      </c>
    </row>
    <row r="233" customFormat="false" ht="15" hidden="false" customHeight="false" outlineLevel="0" collapsed="false">
      <c r="A233" s="8" t="s">
        <v>146</v>
      </c>
      <c r="B233" s="8" t="s">
        <v>263</v>
      </c>
      <c r="C233" s="9"/>
      <c r="D233" s="9" t="n">
        <v>1600</v>
      </c>
      <c r="E233" s="9"/>
      <c r="F233" s="9"/>
      <c r="G233" s="10" t="str">
        <f aca="false">IF(B233="","",IF(D233="","Prix détail manquant",IF(AND(E233&lt;&gt;"",E233&gt;D233),"Prix gros plus cher que détail ?",IF(AND(C233&lt;&gt;"",C233&gt;=D233),"Vendu à perte ?",IF(AND(C233&lt;&gt;"",E233&lt;&gt;"",C233&gt;=E233),"Gros vendu à perte ?","")))))</f>
        <v/>
      </c>
    </row>
    <row r="234" customFormat="false" ht="15" hidden="false" customHeight="false" outlineLevel="0" collapsed="false">
      <c r="A234" s="8" t="s">
        <v>146</v>
      </c>
      <c r="B234" s="8" t="s">
        <v>264</v>
      </c>
      <c r="C234" s="9"/>
      <c r="D234" s="9" t="n">
        <v>800</v>
      </c>
      <c r="E234" s="9"/>
      <c r="F234" s="9"/>
      <c r="G234" s="10" t="str">
        <f aca="false">IF(B234="","",IF(D234="","Prix détail manquant",IF(AND(E234&lt;&gt;"",E234&gt;D234),"Prix gros plus cher que détail ?",IF(AND(C234&lt;&gt;"",C234&gt;=D234),"Vendu à perte ?",IF(AND(C234&lt;&gt;"",E234&lt;&gt;"",C234&gt;=E234),"Gros vendu à perte ?","")))))</f>
        <v/>
      </c>
    </row>
    <row r="235" customFormat="false" ht="15" hidden="false" customHeight="false" outlineLevel="0" collapsed="false">
      <c r="A235" s="8" t="s">
        <v>146</v>
      </c>
      <c r="B235" s="8" t="s">
        <v>265</v>
      </c>
      <c r="C235" s="9"/>
      <c r="D235" s="9" t="n">
        <v>1800</v>
      </c>
      <c r="E235" s="9"/>
      <c r="F235" s="9"/>
      <c r="G235" s="10" t="str">
        <f aca="false">IF(B235="","",IF(D235="","Prix détail manquant",IF(AND(E235&lt;&gt;"",E235&gt;D235),"Prix gros plus cher que détail ?",IF(AND(C235&lt;&gt;"",C235&gt;=D235),"Vendu à perte ?",IF(AND(C235&lt;&gt;"",E235&lt;&gt;"",C235&gt;=E235),"Gros vendu à perte ?","")))))</f>
        <v/>
      </c>
    </row>
    <row r="236" customFormat="false" ht="15" hidden="false" customHeight="false" outlineLevel="0" collapsed="false">
      <c r="A236" s="8" t="s">
        <v>146</v>
      </c>
      <c r="B236" s="8" t="s">
        <v>266</v>
      </c>
      <c r="C236" s="9"/>
      <c r="D236" s="9" t="n">
        <v>1600</v>
      </c>
      <c r="E236" s="9"/>
      <c r="F236" s="9"/>
      <c r="G236" s="10" t="str">
        <f aca="false">IF(B236="","",IF(D236="","Prix détail manquant",IF(AND(E236&lt;&gt;"",E236&gt;D236),"Prix gros plus cher que détail ?",IF(AND(C236&lt;&gt;"",C236&gt;=D236),"Vendu à perte ?",IF(AND(C236&lt;&gt;"",E236&lt;&gt;"",C236&gt;=E236),"Gros vendu à perte ?","")))))</f>
        <v/>
      </c>
    </row>
    <row r="237" customFormat="false" ht="15" hidden="false" customHeight="false" outlineLevel="0" collapsed="false">
      <c r="A237" s="8" t="s">
        <v>146</v>
      </c>
      <c r="B237" s="8" t="s">
        <v>267</v>
      </c>
      <c r="C237" s="9"/>
      <c r="D237" s="9" t="n">
        <v>165</v>
      </c>
      <c r="E237" s="9"/>
      <c r="F237" s="9"/>
      <c r="G237" s="10" t="str">
        <f aca="false">IF(B237="","",IF(D237="","Prix détail manquant",IF(AND(E237&lt;&gt;"",E237&gt;D237),"Prix gros plus cher que détail ?",IF(AND(C237&lt;&gt;"",C237&gt;=D237),"Vendu à perte ?",IF(AND(C237&lt;&gt;"",E237&lt;&gt;"",C237&gt;=E237),"Gros vendu à perte ?","")))))</f>
        <v/>
      </c>
    </row>
    <row r="238" customFormat="false" ht="15" hidden="false" customHeight="false" outlineLevel="0" collapsed="false">
      <c r="A238" s="8" t="s">
        <v>146</v>
      </c>
      <c r="B238" s="8" t="s">
        <v>268</v>
      </c>
      <c r="C238" s="9"/>
      <c r="D238" s="9" t="n">
        <v>50</v>
      </c>
      <c r="E238" s="9"/>
      <c r="F238" s="9"/>
      <c r="G238" s="10" t="str">
        <f aca="false">IF(B238="","",IF(D238="","Prix détail manquant",IF(AND(E238&lt;&gt;"",E238&gt;D238),"Prix gros plus cher que détail ?",IF(AND(C238&lt;&gt;"",C238&gt;=D238),"Vendu à perte ?",IF(AND(C238&lt;&gt;"",E238&lt;&gt;"",C238&gt;=E238),"Gros vendu à perte ?","")))))</f>
        <v/>
      </c>
    </row>
    <row r="239" customFormat="false" ht="15" hidden="false" customHeight="false" outlineLevel="0" collapsed="false">
      <c r="A239" s="8" t="s">
        <v>146</v>
      </c>
      <c r="B239" s="8" t="s">
        <v>269</v>
      </c>
      <c r="C239" s="9"/>
      <c r="D239" s="9" t="n">
        <v>85</v>
      </c>
      <c r="E239" s="9"/>
      <c r="F239" s="9"/>
      <c r="G239" s="10" t="str">
        <f aca="false">IF(B239="","",IF(D239="","Prix détail manquant",IF(AND(E239&lt;&gt;"",E239&gt;D239),"Prix gros plus cher que détail ?",IF(AND(C239&lt;&gt;"",C239&gt;=D239),"Vendu à perte ?",IF(AND(C239&lt;&gt;"",E239&lt;&gt;"",C239&gt;=E239),"Gros vendu à perte ?","")))))</f>
        <v/>
      </c>
    </row>
    <row r="240" customFormat="false" ht="15" hidden="false" customHeight="false" outlineLevel="0" collapsed="false">
      <c r="A240" s="8" t="s">
        <v>146</v>
      </c>
      <c r="B240" s="8" t="s">
        <v>270</v>
      </c>
      <c r="C240" s="9"/>
      <c r="D240" s="9" t="n">
        <v>250</v>
      </c>
      <c r="E240" s="9"/>
      <c r="F240" s="9"/>
      <c r="G240" s="10" t="str">
        <f aca="false">IF(B240="","",IF(D240="","Prix détail manquant",IF(AND(E240&lt;&gt;"",E240&gt;D240),"Prix gros plus cher que détail ?",IF(AND(C240&lt;&gt;"",C240&gt;=D240),"Vendu à perte ?",IF(AND(C240&lt;&gt;"",E240&lt;&gt;"",C240&gt;=E240),"Gros vendu à perte ?","")))))</f>
        <v/>
      </c>
    </row>
    <row r="241" customFormat="false" ht="15" hidden="false" customHeight="false" outlineLevel="0" collapsed="false">
      <c r="A241" s="8" t="s">
        <v>146</v>
      </c>
      <c r="B241" s="8" t="s">
        <v>271</v>
      </c>
      <c r="C241" s="9"/>
      <c r="D241" s="9" t="n">
        <v>1300</v>
      </c>
      <c r="E241" s="9"/>
      <c r="F241" s="9"/>
      <c r="G241" s="10" t="str">
        <f aca="false">IF(B241="","",IF(D241="","Prix détail manquant",IF(AND(E241&lt;&gt;"",E241&gt;D241),"Prix gros plus cher que détail ?",IF(AND(C241&lt;&gt;"",C241&gt;=D241),"Vendu à perte ?",IF(AND(C241&lt;&gt;"",E241&lt;&gt;"",C241&gt;=E241),"Gros vendu à perte ?","")))))</f>
        <v/>
      </c>
    </row>
    <row r="242" customFormat="false" ht="15" hidden="false" customHeight="false" outlineLevel="0" collapsed="false">
      <c r="A242" s="8" t="s">
        <v>146</v>
      </c>
      <c r="B242" s="8" t="s">
        <v>272</v>
      </c>
      <c r="C242" s="9"/>
      <c r="D242" s="9" t="n">
        <v>900</v>
      </c>
      <c r="E242" s="9"/>
      <c r="F242" s="9"/>
      <c r="G242" s="10" t="str">
        <f aca="false">IF(B242="","",IF(D242="","Prix détail manquant",IF(AND(E242&lt;&gt;"",E242&gt;D242),"Prix gros plus cher que détail ?",IF(AND(C242&lt;&gt;"",C242&gt;=D242),"Vendu à perte ?",IF(AND(C242&lt;&gt;"",E242&lt;&gt;"",C242&gt;=E242),"Gros vendu à perte ?","")))))</f>
        <v/>
      </c>
    </row>
    <row r="243" customFormat="false" ht="15" hidden="false" customHeight="false" outlineLevel="0" collapsed="false">
      <c r="A243" s="8" t="s">
        <v>146</v>
      </c>
      <c r="B243" s="8" t="s">
        <v>273</v>
      </c>
      <c r="C243" s="9"/>
      <c r="D243" s="9" t="n">
        <v>2000</v>
      </c>
      <c r="E243" s="9"/>
      <c r="F243" s="9"/>
      <c r="G243" s="10" t="str">
        <f aca="false">IF(B243="","",IF(D243="","Prix détail manquant",IF(AND(E243&lt;&gt;"",E243&gt;D243),"Prix gros plus cher que détail ?",IF(AND(C243&lt;&gt;"",C243&gt;=D243),"Vendu à perte ?",IF(AND(C243&lt;&gt;"",E243&lt;&gt;"",C243&gt;=E243),"Gros vendu à perte ?","")))))</f>
        <v/>
      </c>
    </row>
    <row r="244" customFormat="false" ht="15" hidden="false" customHeight="false" outlineLevel="0" collapsed="false">
      <c r="A244" s="8" t="s">
        <v>146</v>
      </c>
      <c r="B244" s="8" t="s">
        <v>274</v>
      </c>
      <c r="C244" s="9"/>
      <c r="D244" s="9" t="n">
        <v>3000</v>
      </c>
      <c r="E244" s="9"/>
      <c r="F244" s="9"/>
      <c r="G244" s="10" t="str">
        <f aca="false">IF(B244="","",IF(D244="","Prix détail manquant",IF(AND(E244&lt;&gt;"",E244&gt;D244),"Prix gros plus cher que détail ?",IF(AND(C244&lt;&gt;"",C244&gt;=D244),"Vendu à perte ?",IF(AND(C244&lt;&gt;"",E244&lt;&gt;"",C244&gt;=E244),"Gros vendu à perte ?","")))))</f>
        <v/>
      </c>
    </row>
    <row r="245" customFormat="false" ht="15" hidden="false" customHeight="false" outlineLevel="0" collapsed="false">
      <c r="A245" s="8" t="s">
        <v>146</v>
      </c>
      <c r="B245" s="8" t="s">
        <v>275</v>
      </c>
      <c r="C245" s="9"/>
      <c r="D245" s="9"/>
      <c r="E245" s="9"/>
      <c r="F245" s="9"/>
      <c r="G245" s="10" t="str">
        <f aca="false">IF(B245="","",IF(D245="","Prix détail manquant",IF(AND(E245&lt;&gt;"",E245&gt;D245),"Prix gros plus cher que détail ?",IF(AND(C245&lt;&gt;"",C245&gt;=D245),"Vendu à perte ?",IF(AND(C245&lt;&gt;"",E245&lt;&gt;"",C245&gt;=E245),"Gros vendu à perte ?","")))))</f>
        <v>Prix détail manquant</v>
      </c>
    </row>
    <row r="246" customFormat="false" ht="15" hidden="false" customHeight="false" outlineLevel="0" collapsed="false">
      <c r="A246" s="8" t="s">
        <v>146</v>
      </c>
      <c r="B246" s="8" t="s">
        <v>276</v>
      </c>
      <c r="C246" s="9"/>
      <c r="D246" s="9"/>
      <c r="E246" s="9"/>
      <c r="F246" s="9"/>
      <c r="G246" s="10" t="str">
        <f aca="false">IF(B246="","",IF(D246="","Prix détail manquant",IF(AND(E246&lt;&gt;"",E246&gt;D246),"Prix gros plus cher que détail ?",IF(AND(C246&lt;&gt;"",C246&gt;=D246),"Vendu à perte ?",IF(AND(C246&lt;&gt;"",E246&lt;&gt;"",C246&gt;=E246),"Gros vendu à perte ?","")))))</f>
        <v>Prix détail manquant</v>
      </c>
    </row>
    <row r="247" customFormat="false" ht="15" hidden="false" customHeight="false" outlineLevel="0" collapsed="false">
      <c r="A247" s="8" t="s">
        <v>146</v>
      </c>
      <c r="B247" s="8" t="s">
        <v>277</v>
      </c>
      <c r="C247" s="9"/>
      <c r="D247" s="9"/>
      <c r="E247" s="9"/>
      <c r="F247" s="9"/>
      <c r="G247" s="10" t="str">
        <f aca="false">IF(B247="","",IF(D247="","Prix détail manquant",IF(AND(E247&lt;&gt;"",E247&gt;D247),"Prix gros plus cher que détail ?",IF(AND(C247&lt;&gt;"",C247&gt;=D247),"Vendu à perte ?",IF(AND(C247&lt;&gt;"",E247&lt;&gt;"",C247&gt;=E247),"Gros vendu à perte ?","")))))</f>
        <v>Prix détail manquant</v>
      </c>
    </row>
    <row r="248" customFormat="false" ht="15" hidden="false" customHeight="false" outlineLevel="0" collapsed="false">
      <c r="A248" s="8" t="s">
        <v>146</v>
      </c>
      <c r="B248" s="8" t="s">
        <v>278</v>
      </c>
      <c r="C248" s="9"/>
      <c r="D248" s="9"/>
      <c r="E248" s="9"/>
      <c r="F248" s="9"/>
      <c r="G248" s="10" t="str">
        <f aca="false">IF(B248="","",IF(D248="","Prix détail manquant",IF(AND(E248&lt;&gt;"",E248&gt;D248),"Prix gros plus cher que détail ?",IF(AND(C248&lt;&gt;"",C248&gt;=D248),"Vendu à perte ?",IF(AND(C248&lt;&gt;"",E248&lt;&gt;"",C248&gt;=E248),"Gros vendu à perte ?","")))))</f>
        <v>Prix détail manquant</v>
      </c>
    </row>
    <row r="249" customFormat="false" ht="15" hidden="false" customHeight="false" outlineLevel="0" collapsed="false">
      <c r="A249" s="8" t="s">
        <v>146</v>
      </c>
      <c r="B249" s="8" t="s">
        <v>279</v>
      </c>
      <c r="C249" s="9"/>
      <c r="D249" s="9"/>
      <c r="E249" s="9"/>
      <c r="F249" s="9"/>
      <c r="G249" s="10" t="str">
        <f aca="false">IF(B249="","",IF(D249="","Prix détail manquant",IF(AND(E249&lt;&gt;"",E249&gt;D249),"Prix gros plus cher que détail ?",IF(AND(C249&lt;&gt;"",C249&gt;=D249),"Vendu à perte ?",IF(AND(C249&lt;&gt;"",E249&lt;&gt;"",C249&gt;=E249),"Gros vendu à perte ?","")))))</f>
        <v>Prix détail manquant</v>
      </c>
    </row>
    <row r="250" customFormat="false" ht="15" hidden="false" customHeight="false" outlineLevel="0" collapsed="false">
      <c r="A250" s="8" t="s">
        <v>146</v>
      </c>
      <c r="B250" s="8" t="s">
        <v>280</v>
      </c>
      <c r="C250" s="9"/>
      <c r="D250" s="9"/>
      <c r="E250" s="9"/>
      <c r="F250" s="9"/>
      <c r="G250" s="10" t="str">
        <f aca="false">IF(B250="","",IF(D250="","Prix détail manquant",IF(AND(E250&lt;&gt;"",E250&gt;D250),"Prix gros plus cher que détail ?",IF(AND(C250&lt;&gt;"",C250&gt;=D250),"Vendu à perte ?",IF(AND(C250&lt;&gt;"",E250&lt;&gt;"",C250&gt;=E250),"Gros vendu à perte ?","")))))</f>
        <v>Prix détail manquant</v>
      </c>
    </row>
    <row r="251" customFormat="false" ht="15" hidden="false" customHeight="false" outlineLevel="0" collapsed="false">
      <c r="A251" s="8" t="s">
        <v>146</v>
      </c>
      <c r="B251" s="8" t="s">
        <v>281</v>
      </c>
      <c r="C251" s="9"/>
      <c r="D251" s="9"/>
      <c r="E251" s="9"/>
      <c r="F251" s="9"/>
      <c r="G251" s="10" t="str">
        <f aca="false">IF(B251="","",IF(D251="","Prix détail manquant",IF(AND(E251&lt;&gt;"",E251&gt;D251),"Prix gros plus cher que détail ?",IF(AND(C251&lt;&gt;"",C251&gt;=D251),"Vendu à perte ?",IF(AND(C251&lt;&gt;"",E251&lt;&gt;"",C251&gt;=E251),"Gros vendu à perte ?","")))))</f>
        <v>Prix détail manquant</v>
      </c>
    </row>
    <row r="252" customFormat="false" ht="15" hidden="false" customHeight="false" outlineLevel="0" collapsed="false">
      <c r="A252" s="8" t="s">
        <v>146</v>
      </c>
      <c r="B252" s="8" t="s">
        <v>282</v>
      </c>
      <c r="C252" s="9"/>
      <c r="D252" s="9"/>
      <c r="E252" s="9"/>
      <c r="F252" s="9"/>
      <c r="G252" s="10" t="str">
        <f aca="false">IF(B252="","",IF(D252="","Prix détail manquant",IF(AND(E252&lt;&gt;"",E252&gt;D252),"Prix gros plus cher que détail ?",IF(AND(C252&lt;&gt;"",C252&gt;=D252),"Vendu à perte ?",IF(AND(C252&lt;&gt;"",E252&lt;&gt;"",C252&gt;=E252),"Gros vendu à perte ?","")))))</f>
        <v>Prix détail manquant</v>
      </c>
    </row>
    <row r="253" customFormat="false" ht="15" hidden="false" customHeight="false" outlineLevel="0" collapsed="false">
      <c r="A253" s="8" t="s">
        <v>146</v>
      </c>
      <c r="B253" s="8" t="s">
        <v>283</v>
      </c>
      <c r="C253" s="9"/>
      <c r="D253" s="9"/>
      <c r="E253" s="9"/>
      <c r="F253" s="9"/>
      <c r="G253" s="10" t="str">
        <f aca="false">IF(B253="","",IF(D253="","Prix détail manquant",IF(AND(E253&lt;&gt;"",E253&gt;D253),"Prix gros plus cher que détail ?",IF(AND(C253&lt;&gt;"",C253&gt;=D253),"Vendu à perte ?",IF(AND(C253&lt;&gt;"",E253&lt;&gt;"",C253&gt;=E253),"Gros vendu à perte ?","")))))</f>
        <v>Prix détail manquant</v>
      </c>
    </row>
    <row r="254" customFormat="false" ht="15" hidden="false" customHeight="false" outlineLevel="0" collapsed="false">
      <c r="A254" s="8" t="s">
        <v>146</v>
      </c>
      <c r="B254" s="8" t="s">
        <v>284</v>
      </c>
      <c r="C254" s="9"/>
      <c r="D254" s="9"/>
      <c r="E254" s="9"/>
      <c r="F254" s="9"/>
      <c r="G254" s="10" t="str">
        <f aca="false">IF(B254="","",IF(D254="","Prix détail manquant",IF(AND(E254&lt;&gt;"",E254&gt;D254),"Prix gros plus cher que détail ?",IF(AND(C254&lt;&gt;"",C254&gt;=D254),"Vendu à perte ?",IF(AND(C254&lt;&gt;"",E254&lt;&gt;"",C254&gt;=E254),"Gros vendu à perte ?","")))))</f>
        <v>Prix détail manquant</v>
      </c>
    </row>
    <row r="255" customFormat="false" ht="15" hidden="false" customHeight="false" outlineLevel="0" collapsed="false">
      <c r="A255" s="8" t="s">
        <v>146</v>
      </c>
      <c r="B255" s="8" t="s">
        <v>285</v>
      </c>
      <c r="C255" s="9"/>
      <c r="D255" s="9" t="n">
        <v>1200</v>
      </c>
      <c r="E255" s="9"/>
      <c r="F255" s="9"/>
      <c r="G255" s="10" t="str">
        <f aca="false">IF(B255="","",IF(D255="","Prix détail manquant",IF(AND(E255&lt;&gt;"",E255&gt;D255),"Prix gros plus cher que détail ?",IF(AND(C255&lt;&gt;"",C255&gt;=D255),"Vendu à perte ?",IF(AND(C255&lt;&gt;"",E255&lt;&gt;"",C255&gt;=E255),"Gros vendu à perte ?","")))))</f>
        <v/>
      </c>
    </row>
    <row r="256" customFormat="false" ht="15" hidden="false" customHeight="false" outlineLevel="0" collapsed="false">
      <c r="A256" s="8" t="s">
        <v>146</v>
      </c>
      <c r="B256" s="8" t="s">
        <v>286</v>
      </c>
      <c r="C256" s="9"/>
      <c r="D256" s="9"/>
      <c r="E256" s="9"/>
      <c r="F256" s="9"/>
      <c r="G256" s="10" t="str">
        <f aca="false">IF(B256="","",IF(D256="","Prix détail manquant",IF(AND(E256&lt;&gt;"",E256&gt;D256),"Prix gros plus cher que détail ?",IF(AND(C256&lt;&gt;"",C256&gt;=D256),"Vendu à perte ?",IF(AND(C256&lt;&gt;"",E256&lt;&gt;"",C256&gt;=E256),"Gros vendu à perte ?","")))))</f>
        <v>Prix détail manquant</v>
      </c>
    </row>
    <row r="257" customFormat="false" ht="15" hidden="false" customHeight="false" outlineLevel="0" collapsed="false">
      <c r="A257" s="8" t="s">
        <v>146</v>
      </c>
      <c r="B257" s="8" t="s">
        <v>287</v>
      </c>
      <c r="C257" s="9"/>
      <c r="D257" s="9"/>
      <c r="E257" s="9"/>
      <c r="F257" s="9"/>
      <c r="G257" s="10" t="str">
        <f aca="false">IF(B257="","",IF(D257="","Prix détail manquant",IF(AND(E257&lt;&gt;"",E257&gt;D257),"Prix gros plus cher que détail ?",IF(AND(C257&lt;&gt;"",C257&gt;=D257),"Vendu à perte ?",IF(AND(C257&lt;&gt;"",E257&lt;&gt;"",C257&gt;=E257),"Gros vendu à perte ?","")))))</f>
        <v>Prix détail manquant</v>
      </c>
    </row>
    <row r="258" customFormat="false" ht="15" hidden="false" customHeight="false" outlineLevel="0" collapsed="false">
      <c r="A258" s="8" t="s">
        <v>146</v>
      </c>
      <c r="B258" s="8" t="s">
        <v>117</v>
      </c>
      <c r="C258" s="9"/>
      <c r="D258" s="9"/>
      <c r="E258" s="9"/>
      <c r="F258" s="9"/>
      <c r="G258" s="10" t="str">
        <f aca="false">IF(B258="","",IF(D258="","Prix détail manquant",IF(AND(E258&lt;&gt;"",E258&gt;D258),"Prix gros plus cher que détail ?",IF(AND(C258&lt;&gt;"",C258&gt;=D258),"Vendu à perte ?",IF(AND(C258&lt;&gt;"",E258&lt;&gt;"",C258&gt;=E258),"Gros vendu à perte ?","")))))</f>
        <v>Prix détail manquant</v>
      </c>
    </row>
    <row r="259" customFormat="false" ht="15" hidden="false" customHeight="false" outlineLevel="0" collapsed="false">
      <c r="A259" s="8" t="s">
        <v>146</v>
      </c>
      <c r="B259" s="8" t="s">
        <v>288</v>
      </c>
      <c r="C259" s="9"/>
      <c r="D259" s="9"/>
      <c r="E259" s="9"/>
      <c r="F259" s="9"/>
      <c r="G259" s="10" t="str">
        <f aca="false">IF(B259="","",IF(D259="","Prix détail manquant",IF(AND(E259&lt;&gt;"",E259&gt;D259),"Prix gros plus cher que détail ?",IF(AND(C259&lt;&gt;"",C259&gt;=D259),"Vendu à perte ?",IF(AND(C259&lt;&gt;"",E259&lt;&gt;"",C259&gt;=E259),"Gros vendu à perte ?","")))))</f>
        <v>Prix détail manquant</v>
      </c>
    </row>
    <row r="260" customFormat="false" ht="15" hidden="false" customHeight="false" outlineLevel="0" collapsed="false">
      <c r="A260" s="8" t="s">
        <v>146</v>
      </c>
      <c r="B260" s="8" t="s">
        <v>289</v>
      </c>
      <c r="C260" s="9"/>
      <c r="D260" s="9"/>
      <c r="E260" s="9"/>
      <c r="F260" s="9"/>
      <c r="G260" s="10" t="str">
        <f aca="false">IF(B260="","",IF(D260="","Prix détail manquant",IF(AND(E260&lt;&gt;"",E260&gt;D260),"Prix gros plus cher que détail ?",IF(AND(C260&lt;&gt;"",C260&gt;=D260),"Vendu à perte ?",IF(AND(C260&lt;&gt;"",E260&lt;&gt;"",C260&gt;=E260),"Gros vendu à perte ?","")))))</f>
        <v>Prix détail manquant</v>
      </c>
    </row>
    <row r="261" customFormat="false" ht="15" hidden="false" customHeight="false" outlineLevel="0" collapsed="false">
      <c r="A261" s="8" t="s">
        <v>146</v>
      </c>
      <c r="B261" s="8" t="s">
        <v>290</v>
      </c>
      <c r="C261" s="9"/>
      <c r="D261" s="9" t="n">
        <v>100</v>
      </c>
      <c r="E261" s="9"/>
      <c r="F261" s="9"/>
      <c r="G261" s="10" t="str">
        <f aca="false">IF(B261="","",IF(D261="","Prix détail manquant",IF(AND(E261&lt;&gt;"",E261&gt;D261),"Prix gros plus cher que détail ?",IF(AND(C261&lt;&gt;"",C261&gt;=D261),"Vendu à perte ?",IF(AND(C261&lt;&gt;"",E261&lt;&gt;"",C261&gt;=E261),"Gros vendu à perte ?","")))))</f>
        <v/>
      </c>
    </row>
    <row r="262" customFormat="false" ht="15" hidden="false" customHeight="false" outlineLevel="0" collapsed="false">
      <c r="A262" s="8" t="s">
        <v>146</v>
      </c>
      <c r="B262" s="8" t="s">
        <v>291</v>
      </c>
      <c r="C262" s="9"/>
      <c r="D262" s="9" t="n">
        <v>1000</v>
      </c>
      <c r="E262" s="9"/>
      <c r="F262" s="9"/>
      <c r="G262" s="10" t="str">
        <f aca="false">IF(B262="","",IF(D262="","Prix détail manquant",IF(AND(E262&lt;&gt;"",E262&gt;D262),"Prix gros plus cher que détail ?",IF(AND(C262&lt;&gt;"",C262&gt;=D262),"Vendu à perte ?",IF(AND(C262&lt;&gt;"",E262&lt;&gt;"",C262&gt;=E262),"Gros vendu à perte ?","")))))</f>
        <v/>
      </c>
    </row>
    <row r="263" customFormat="false" ht="15" hidden="false" customHeight="false" outlineLevel="0" collapsed="false">
      <c r="A263" s="8" t="s">
        <v>146</v>
      </c>
      <c r="B263" s="8" t="s">
        <v>292</v>
      </c>
      <c r="C263" s="9"/>
      <c r="D263" s="9"/>
      <c r="E263" s="9"/>
      <c r="F263" s="9"/>
      <c r="G263" s="10" t="str">
        <f aca="false">IF(B263="","",IF(D263="","Prix détail manquant",IF(AND(E263&lt;&gt;"",E263&gt;D263),"Prix gros plus cher que détail ?",IF(AND(C263&lt;&gt;"",C263&gt;=D263),"Vendu à perte ?",IF(AND(C263&lt;&gt;"",E263&lt;&gt;"",C263&gt;=E263),"Gros vendu à perte ?","")))))</f>
        <v>Prix détail manquant</v>
      </c>
    </row>
    <row r="264" customFormat="false" ht="15" hidden="false" customHeight="false" outlineLevel="0" collapsed="false">
      <c r="A264" s="8" t="s">
        <v>146</v>
      </c>
      <c r="B264" s="8" t="s">
        <v>293</v>
      </c>
      <c r="C264" s="9"/>
      <c r="D264" s="9"/>
      <c r="E264" s="9"/>
      <c r="F264" s="9"/>
      <c r="G264" s="10" t="str">
        <f aca="false">IF(B264="","",IF(D264="","Prix détail manquant",IF(AND(E264&lt;&gt;"",E264&gt;D264),"Prix gros plus cher que détail ?",IF(AND(C264&lt;&gt;"",C264&gt;=D264),"Vendu à perte ?",IF(AND(C264&lt;&gt;"",E264&lt;&gt;"",C264&gt;=E264),"Gros vendu à perte ?","")))))</f>
        <v>Prix détail manquant</v>
      </c>
    </row>
    <row r="265" customFormat="false" ht="15" hidden="false" customHeight="false" outlineLevel="0" collapsed="false">
      <c r="A265" s="8" t="s">
        <v>146</v>
      </c>
      <c r="B265" s="8" t="s">
        <v>294</v>
      </c>
      <c r="C265" s="9"/>
      <c r="D265" s="9"/>
      <c r="E265" s="9"/>
      <c r="F265" s="9"/>
      <c r="G265" s="10" t="str">
        <f aca="false">IF(B265="","",IF(D265="","Prix détail manquant",IF(AND(E265&lt;&gt;"",E265&gt;D265),"Prix gros plus cher que détail ?",IF(AND(C265&lt;&gt;"",C265&gt;=D265),"Vendu à perte ?",IF(AND(C265&lt;&gt;"",E265&lt;&gt;"",C265&gt;=E265),"Gros vendu à perte ?","")))))</f>
        <v>Prix détail manquant</v>
      </c>
    </row>
    <row r="266" customFormat="false" ht="15" hidden="false" customHeight="false" outlineLevel="0" collapsed="false">
      <c r="A266" s="8" t="s">
        <v>146</v>
      </c>
      <c r="B266" s="8" t="s">
        <v>295</v>
      </c>
      <c r="C266" s="9"/>
      <c r="D266" s="9"/>
      <c r="E266" s="9"/>
      <c r="F266" s="9"/>
      <c r="G266" s="10" t="str">
        <f aca="false">IF(B266="","",IF(D266="","Prix détail manquant",IF(AND(E266&lt;&gt;"",E266&gt;D266),"Prix gros plus cher que détail ?",IF(AND(C266&lt;&gt;"",C266&gt;=D266),"Vendu à perte ?",IF(AND(C266&lt;&gt;"",E266&lt;&gt;"",C266&gt;=E266),"Gros vendu à perte ?","")))))</f>
        <v>Prix détail manquant</v>
      </c>
    </row>
    <row r="267" customFormat="false" ht="15" hidden="false" customHeight="false" outlineLevel="0" collapsed="false">
      <c r="A267" s="8" t="s">
        <v>146</v>
      </c>
      <c r="B267" s="8" t="s">
        <v>296</v>
      </c>
      <c r="C267" s="9"/>
      <c r="D267" s="9" t="n">
        <v>170</v>
      </c>
      <c r="E267" s="9"/>
      <c r="F267" s="9"/>
      <c r="G267" s="10" t="str">
        <f aca="false">IF(B267="","",IF(D267="","Prix détail manquant",IF(AND(E267&lt;&gt;"",E267&gt;D267),"Prix gros plus cher que détail ?",IF(AND(C267&lt;&gt;"",C267&gt;=D267),"Vendu à perte ?",IF(AND(C267&lt;&gt;"",E267&lt;&gt;"",C267&gt;=E267),"Gros vendu à perte ?","")))))</f>
        <v/>
      </c>
    </row>
    <row r="268" customFormat="false" ht="15" hidden="false" customHeight="false" outlineLevel="0" collapsed="false">
      <c r="A268" s="8" t="s">
        <v>146</v>
      </c>
      <c r="B268" s="8" t="s">
        <v>297</v>
      </c>
      <c r="C268" s="9"/>
      <c r="D268" s="9"/>
      <c r="E268" s="9"/>
      <c r="F268" s="9"/>
      <c r="G268" s="10" t="str">
        <f aca="false">IF(B268="","",IF(D268="","Prix détail manquant",IF(AND(E268&lt;&gt;"",E268&gt;D268),"Prix gros plus cher que détail ?",IF(AND(C268&lt;&gt;"",C268&gt;=D268),"Vendu à perte ?",IF(AND(C268&lt;&gt;"",E268&lt;&gt;"",C268&gt;=E268),"Gros vendu à perte ?","")))))</f>
        <v>Prix détail manquant</v>
      </c>
    </row>
    <row r="269" customFormat="false" ht="15" hidden="false" customHeight="false" outlineLevel="0" collapsed="false">
      <c r="A269" s="8" t="s">
        <v>146</v>
      </c>
      <c r="B269" s="8" t="s">
        <v>298</v>
      </c>
      <c r="C269" s="9"/>
      <c r="D269" s="9"/>
      <c r="E269" s="9"/>
      <c r="F269" s="9"/>
      <c r="G269" s="10" t="str">
        <f aca="false">IF(B269="","",IF(D269="","Prix détail manquant",IF(AND(E269&lt;&gt;"",E269&gt;D269),"Prix gros plus cher que détail ?",IF(AND(C269&lt;&gt;"",C269&gt;=D269),"Vendu à perte ?",IF(AND(C269&lt;&gt;"",E269&lt;&gt;"",C269&gt;=E269),"Gros vendu à perte ?","")))))</f>
        <v>Prix détail manquant</v>
      </c>
    </row>
    <row r="270" customFormat="false" ht="15" hidden="false" customHeight="false" outlineLevel="0" collapsed="false">
      <c r="A270" s="8" t="s">
        <v>146</v>
      </c>
      <c r="B270" s="8" t="s">
        <v>299</v>
      </c>
      <c r="C270" s="9"/>
      <c r="D270" s="9"/>
      <c r="E270" s="9"/>
      <c r="F270" s="9"/>
      <c r="G270" s="10" t="str">
        <f aca="false">IF(B270="","",IF(D270="","Prix détail manquant",IF(AND(E270&lt;&gt;"",E270&gt;D270),"Prix gros plus cher que détail ?",IF(AND(C270&lt;&gt;"",C270&gt;=D270),"Vendu à perte ?",IF(AND(C270&lt;&gt;"",E270&lt;&gt;"",C270&gt;=E270),"Gros vendu à perte ?","")))))</f>
        <v>Prix détail manquant</v>
      </c>
    </row>
    <row r="271" customFormat="false" ht="15" hidden="false" customHeight="false" outlineLevel="0" collapsed="false">
      <c r="A271" s="8" t="s">
        <v>146</v>
      </c>
      <c r="B271" s="8" t="s">
        <v>300</v>
      </c>
      <c r="C271" s="9"/>
      <c r="D271" s="9"/>
      <c r="E271" s="9"/>
      <c r="F271" s="9"/>
      <c r="G271" s="10" t="str">
        <f aca="false">IF(B271="","",IF(D271="","Prix détail manquant",IF(AND(E271&lt;&gt;"",E271&gt;D271),"Prix gros plus cher que détail ?",IF(AND(C271&lt;&gt;"",C271&gt;=D271),"Vendu à perte ?",IF(AND(C271&lt;&gt;"",E271&lt;&gt;"",C271&gt;=E271),"Gros vendu à perte ?","")))))</f>
        <v>Prix détail manquant</v>
      </c>
    </row>
    <row r="272" customFormat="false" ht="15" hidden="false" customHeight="false" outlineLevel="0" collapsed="false">
      <c r="A272" s="8" t="s">
        <v>146</v>
      </c>
      <c r="B272" s="8" t="s">
        <v>301</v>
      </c>
      <c r="C272" s="9"/>
      <c r="D272" s="9"/>
      <c r="E272" s="9"/>
      <c r="F272" s="9"/>
      <c r="G272" s="10" t="str">
        <f aca="false">IF(B272="","",IF(D272="","Prix détail manquant",IF(AND(E272&lt;&gt;"",E272&gt;D272),"Prix gros plus cher que détail ?",IF(AND(C272&lt;&gt;"",C272&gt;=D272),"Vendu à perte ?",IF(AND(C272&lt;&gt;"",E272&lt;&gt;"",C272&gt;=E272),"Gros vendu à perte ?","")))))</f>
        <v>Prix détail manquant</v>
      </c>
    </row>
    <row r="273" customFormat="false" ht="15" hidden="false" customHeight="false" outlineLevel="0" collapsed="false">
      <c r="A273" s="8" t="s">
        <v>146</v>
      </c>
      <c r="B273" s="8" t="s">
        <v>302</v>
      </c>
      <c r="C273" s="9"/>
      <c r="D273" s="9"/>
      <c r="E273" s="9"/>
      <c r="F273" s="9"/>
      <c r="G273" s="10" t="str">
        <f aca="false">IF(B273="","",IF(D273="","Prix détail manquant",IF(AND(E273&lt;&gt;"",E273&gt;D273),"Prix gros plus cher que détail ?",IF(AND(C273&lt;&gt;"",C273&gt;=D273),"Vendu à perte ?",IF(AND(C273&lt;&gt;"",E273&lt;&gt;"",C273&gt;=E273),"Gros vendu à perte ?","")))))</f>
        <v>Prix détail manquant</v>
      </c>
    </row>
    <row r="274" customFormat="false" ht="15" hidden="false" customHeight="false" outlineLevel="0" collapsed="false">
      <c r="A274" s="8" t="s">
        <v>146</v>
      </c>
      <c r="B274" s="8" t="s">
        <v>303</v>
      </c>
      <c r="C274" s="9"/>
      <c r="D274" s="9"/>
      <c r="E274" s="9"/>
      <c r="F274" s="9"/>
      <c r="G274" s="10" t="str">
        <f aca="false">IF(B274="","",IF(D274="","Prix détail manquant",IF(AND(E274&lt;&gt;"",E274&gt;D274),"Prix gros plus cher que détail ?",IF(AND(C274&lt;&gt;"",C274&gt;=D274),"Vendu à perte ?",IF(AND(C274&lt;&gt;"",E274&lt;&gt;"",C274&gt;=E274),"Gros vendu à perte ?","")))))</f>
        <v>Prix détail manquant</v>
      </c>
    </row>
    <row r="275" customFormat="false" ht="15" hidden="false" customHeight="false" outlineLevel="0" collapsed="false">
      <c r="A275" s="8" t="s">
        <v>146</v>
      </c>
      <c r="B275" s="8" t="s">
        <v>304</v>
      </c>
      <c r="C275" s="9"/>
      <c r="D275" s="9"/>
      <c r="E275" s="9"/>
      <c r="F275" s="9"/>
      <c r="G275" s="10" t="str">
        <f aca="false">IF(B275="","",IF(D275="","Prix détail manquant",IF(AND(E275&lt;&gt;"",E275&gt;D275),"Prix gros plus cher que détail ?",IF(AND(C275&lt;&gt;"",C275&gt;=D275),"Vendu à perte ?",IF(AND(C275&lt;&gt;"",E275&lt;&gt;"",C275&gt;=E275),"Gros vendu à perte ?","")))))</f>
        <v>Prix détail manquant</v>
      </c>
    </row>
    <row r="276" customFormat="false" ht="15" hidden="false" customHeight="false" outlineLevel="0" collapsed="false">
      <c r="A276" s="8" t="s">
        <v>146</v>
      </c>
      <c r="B276" s="8" t="s">
        <v>305</v>
      </c>
      <c r="C276" s="9"/>
      <c r="D276" s="9"/>
      <c r="E276" s="9"/>
      <c r="F276" s="9"/>
      <c r="G276" s="10" t="str">
        <f aca="false">IF(B276="","",IF(D276="","Prix détail manquant",IF(AND(E276&lt;&gt;"",E276&gt;D276),"Prix gros plus cher que détail ?",IF(AND(C276&lt;&gt;"",C276&gt;=D276),"Vendu à perte ?",IF(AND(C276&lt;&gt;"",E276&lt;&gt;"",C276&gt;=E276),"Gros vendu à perte ?","")))))</f>
        <v>Prix détail manquant</v>
      </c>
    </row>
    <row r="277" customFormat="false" ht="15" hidden="false" customHeight="false" outlineLevel="0" collapsed="false">
      <c r="A277" s="8" t="s">
        <v>146</v>
      </c>
      <c r="B277" s="8" t="s">
        <v>306</v>
      </c>
      <c r="C277" s="9"/>
      <c r="D277" s="9" t="n">
        <v>435</v>
      </c>
      <c r="E277" s="9"/>
      <c r="F277" s="9"/>
      <c r="G277" s="10" t="str">
        <f aca="false">IF(B277="","",IF(D277="","Prix détail manquant",IF(AND(E277&lt;&gt;"",E277&gt;D277),"Prix gros plus cher que détail ?",IF(AND(C277&lt;&gt;"",C277&gt;=D277),"Vendu à perte ?",IF(AND(C277&lt;&gt;"",E277&lt;&gt;"",C277&gt;=E277),"Gros vendu à perte ?","")))))</f>
        <v/>
      </c>
    </row>
    <row r="278" customFormat="false" ht="15" hidden="false" customHeight="false" outlineLevel="0" collapsed="false">
      <c r="A278" s="8" t="s">
        <v>146</v>
      </c>
      <c r="B278" s="8" t="s">
        <v>307</v>
      </c>
      <c r="C278" s="9"/>
      <c r="D278" s="9" t="n">
        <v>420</v>
      </c>
      <c r="E278" s="9"/>
      <c r="F278" s="9"/>
      <c r="G278" s="10" t="str">
        <f aca="false">IF(B278="","",IF(D278="","Prix détail manquant",IF(AND(E278&lt;&gt;"",E278&gt;D278),"Prix gros plus cher que détail ?",IF(AND(C278&lt;&gt;"",C278&gt;=D278),"Vendu à perte ?",IF(AND(C278&lt;&gt;"",E278&lt;&gt;"",C278&gt;=E278),"Gros vendu à perte ?","")))))</f>
        <v/>
      </c>
    </row>
    <row r="279" customFormat="false" ht="15" hidden="false" customHeight="false" outlineLevel="0" collapsed="false">
      <c r="A279" s="8" t="s">
        <v>146</v>
      </c>
      <c r="B279" s="8" t="s">
        <v>308</v>
      </c>
      <c r="C279" s="9"/>
      <c r="D279" s="9" t="n">
        <v>420</v>
      </c>
      <c r="E279" s="9"/>
      <c r="F279" s="9"/>
      <c r="G279" s="10" t="str">
        <f aca="false">IF(B279="","",IF(D279="","Prix détail manquant",IF(AND(E279&lt;&gt;"",E279&gt;D279),"Prix gros plus cher que détail ?",IF(AND(C279&lt;&gt;"",C279&gt;=D279),"Vendu à perte ?",IF(AND(C279&lt;&gt;"",E279&lt;&gt;"",C279&gt;=E279),"Gros vendu à perte ?","")))))</f>
        <v/>
      </c>
    </row>
    <row r="280" customFormat="false" ht="15" hidden="false" customHeight="false" outlineLevel="0" collapsed="false">
      <c r="A280" s="8" t="s">
        <v>146</v>
      </c>
      <c r="B280" s="8" t="s">
        <v>309</v>
      </c>
      <c r="C280" s="9"/>
      <c r="D280" s="9" t="n">
        <v>420</v>
      </c>
      <c r="E280" s="9"/>
      <c r="F280" s="9"/>
      <c r="G280" s="10" t="str">
        <f aca="false">IF(B280="","",IF(D280="","Prix détail manquant",IF(AND(E280&lt;&gt;"",E280&gt;D280),"Prix gros plus cher que détail ?",IF(AND(C280&lt;&gt;"",C280&gt;=D280),"Vendu à perte ?",IF(AND(C280&lt;&gt;"",E280&lt;&gt;"",C280&gt;=E280),"Gros vendu à perte ?","")))))</f>
        <v/>
      </c>
    </row>
    <row r="281" customFormat="false" ht="15" hidden="false" customHeight="false" outlineLevel="0" collapsed="false">
      <c r="A281" s="8" t="s">
        <v>146</v>
      </c>
      <c r="B281" s="8" t="s">
        <v>310</v>
      </c>
      <c r="C281" s="9"/>
      <c r="D281" s="9" t="n">
        <v>400</v>
      </c>
      <c r="E281" s="9"/>
      <c r="F281" s="9"/>
      <c r="G281" s="10" t="str">
        <f aca="false">IF(B281="","",IF(D281="","Prix détail manquant",IF(AND(E281&lt;&gt;"",E281&gt;D281),"Prix gros plus cher que détail ?",IF(AND(C281&lt;&gt;"",C281&gt;=D281),"Vendu à perte ?",IF(AND(C281&lt;&gt;"",E281&lt;&gt;"",C281&gt;=E281),"Gros vendu à perte ?","")))))</f>
        <v/>
      </c>
    </row>
    <row r="282" customFormat="false" ht="15" hidden="false" customHeight="false" outlineLevel="0" collapsed="false">
      <c r="A282" s="8" t="s">
        <v>146</v>
      </c>
      <c r="B282" s="8" t="s">
        <v>311</v>
      </c>
      <c r="C282" s="9"/>
      <c r="D282" s="9" t="n">
        <v>400</v>
      </c>
      <c r="E282" s="9"/>
      <c r="F282" s="9"/>
      <c r="G282" s="10" t="str">
        <f aca="false">IF(B282="","",IF(D282="","Prix détail manquant",IF(AND(E282&lt;&gt;"",E282&gt;D282),"Prix gros plus cher que détail ?",IF(AND(C282&lt;&gt;"",C282&gt;=D282),"Vendu à perte ?",IF(AND(C282&lt;&gt;"",E282&lt;&gt;"",C282&gt;=E282),"Gros vendu à perte ?","")))))</f>
        <v/>
      </c>
    </row>
    <row r="283" customFormat="false" ht="15" hidden="false" customHeight="false" outlineLevel="0" collapsed="false">
      <c r="A283" s="8" t="s">
        <v>146</v>
      </c>
      <c r="B283" s="8" t="s">
        <v>312</v>
      </c>
      <c r="C283" s="9"/>
      <c r="D283" s="9" t="n">
        <v>500</v>
      </c>
      <c r="E283" s="9"/>
      <c r="F283" s="9"/>
      <c r="G283" s="10" t="str">
        <f aca="false">IF(B283="","",IF(D283="","Prix détail manquant",IF(AND(E283&lt;&gt;"",E283&gt;D283),"Prix gros plus cher que détail ?",IF(AND(C283&lt;&gt;"",C283&gt;=D283),"Vendu à perte ?",IF(AND(C283&lt;&gt;"",E283&lt;&gt;"",C283&gt;=E283),"Gros vendu à perte ?","")))))</f>
        <v/>
      </c>
    </row>
    <row r="284" customFormat="false" ht="15" hidden="false" customHeight="false" outlineLevel="0" collapsed="false">
      <c r="A284" s="8" t="s">
        <v>146</v>
      </c>
      <c r="B284" s="8" t="s">
        <v>313</v>
      </c>
      <c r="C284" s="9"/>
      <c r="D284" s="9" t="n">
        <v>420</v>
      </c>
      <c r="E284" s="9"/>
      <c r="F284" s="9"/>
      <c r="G284" s="10" t="str">
        <f aca="false">IF(B284="","",IF(D284="","Prix détail manquant",IF(AND(E284&lt;&gt;"",E284&gt;D284),"Prix gros plus cher que détail ?",IF(AND(C284&lt;&gt;"",C284&gt;=D284),"Vendu à perte ?",IF(AND(C284&lt;&gt;"",E284&lt;&gt;"",C284&gt;=E284),"Gros vendu à perte ?","")))))</f>
        <v/>
      </c>
    </row>
    <row r="285" customFormat="false" ht="15" hidden="false" customHeight="false" outlineLevel="0" collapsed="false">
      <c r="A285" s="8" t="s">
        <v>146</v>
      </c>
      <c r="B285" s="8" t="s">
        <v>314</v>
      </c>
      <c r="C285" s="9"/>
      <c r="D285" s="9"/>
      <c r="E285" s="9"/>
      <c r="F285" s="9"/>
      <c r="G285" s="10" t="str">
        <f aca="false">IF(B285="","",IF(D285="","Prix détail manquant",IF(AND(E285&lt;&gt;"",E285&gt;D285),"Prix gros plus cher que détail ?",IF(AND(C285&lt;&gt;"",C285&gt;=D285),"Vendu à perte ?",IF(AND(C285&lt;&gt;"",E285&lt;&gt;"",C285&gt;=E285),"Gros vendu à perte ?","")))))</f>
        <v>Prix détail manquant</v>
      </c>
    </row>
    <row r="286" customFormat="false" ht="15" hidden="false" customHeight="false" outlineLevel="0" collapsed="false">
      <c r="A286" s="8" t="s">
        <v>146</v>
      </c>
      <c r="B286" s="8" t="s">
        <v>315</v>
      </c>
      <c r="C286" s="9"/>
      <c r="D286" s="9" t="n">
        <v>1000</v>
      </c>
      <c r="E286" s="9"/>
      <c r="F286" s="9"/>
      <c r="G286" s="10" t="str">
        <f aca="false">IF(B286="","",IF(D286="","Prix détail manquant",IF(AND(E286&lt;&gt;"",E286&gt;D286),"Prix gros plus cher que détail ?",IF(AND(C286&lt;&gt;"",C286&gt;=D286),"Vendu à perte ?",IF(AND(C286&lt;&gt;"",E286&lt;&gt;"",C286&gt;=E286),"Gros vendu à perte ?","")))))</f>
        <v/>
      </c>
    </row>
    <row r="287" customFormat="false" ht="15" hidden="false" customHeight="false" outlineLevel="0" collapsed="false">
      <c r="A287" s="8" t="s">
        <v>146</v>
      </c>
      <c r="B287" s="8" t="s">
        <v>316</v>
      </c>
      <c r="C287" s="9"/>
      <c r="D287" s="9" t="n">
        <v>1170</v>
      </c>
      <c r="E287" s="9"/>
      <c r="F287" s="9"/>
      <c r="G287" s="10" t="str">
        <f aca="false">IF(B287="","",IF(D287="","Prix détail manquant",IF(AND(E287&lt;&gt;"",E287&gt;D287),"Prix gros plus cher que détail ?",IF(AND(C287&lt;&gt;"",C287&gt;=D287),"Vendu à perte ?",IF(AND(C287&lt;&gt;"",E287&lt;&gt;"",C287&gt;=E287),"Gros vendu à perte ?","")))))</f>
        <v/>
      </c>
    </row>
    <row r="288" customFormat="false" ht="15" hidden="false" customHeight="false" outlineLevel="0" collapsed="false">
      <c r="A288" s="8" t="s">
        <v>146</v>
      </c>
      <c r="B288" s="8" t="s">
        <v>317</v>
      </c>
      <c r="C288" s="9"/>
      <c r="D288" s="9" t="n">
        <v>85</v>
      </c>
      <c r="E288" s="9"/>
      <c r="F288" s="9"/>
      <c r="G288" s="10" t="str">
        <f aca="false">IF(B288="","",IF(D288="","Prix détail manquant",IF(AND(E288&lt;&gt;"",E288&gt;D288),"Prix gros plus cher que détail ?",IF(AND(C288&lt;&gt;"",C288&gt;=D288),"Vendu à perte ?",IF(AND(C288&lt;&gt;"",E288&lt;&gt;"",C288&gt;=E288),"Gros vendu à perte ?","")))))</f>
        <v/>
      </c>
    </row>
    <row r="289" customFormat="false" ht="15" hidden="false" customHeight="false" outlineLevel="0" collapsed="false">
      <c r="A289" s="8" t="s">
        <v>146</v>
      </c>
      <c r="B289" s="8" t="s">
        <v>318</v>
      </c>
      <c r="C289" s="9"/>
      <c r="D289" s="9" t="n">
        <v>1000</v>
      </c>
      <c r="E289" s="9"/>
      <c r="F289" s="9"/>
      <c r="G289" s="10" t="str">
        <f aca="false">IF(B289="","",IF(D289="","Prix détail manquant",IF(AND(E289&lt;&gt;"",E289&gt;D289),"Prix gros plus cher que détail ?",IF(AND(C289&lt;&gt;"",C289&gt;=D289),"Vendu à perte ?",IF(AND(C289&lt;&gt;"",E289&lt;&gt;"",C289&gt;=E289),"Gros vendu à perte ?","")))))</f>
        <v/>
      </c>
    </row>
    <row r="290" customFormat="false" ht="15" hidden="false" customHeight="false" outlineLevel="0" collapsed="false">
      <c r="A290" s="8" t="s">
        <v>146</v>
      </c>
      <c r="B290" s="8" t="s">
        <v>319</v>
      </c>
      <c r="C290" s="9"/>
      <c r="D290" s="9" t="n">
        <v>500</v>
      </c>
      <c r="E290" s="9"/>
      <c r="F290" s="9"/>
      <c r="G290" s="10" t="str">
        <f aca="false">IF(B290="","",IF(D290="","Prix détail manquant",IF(AND(E290&lt;&gt;"",E290&gt;D290),"Prix gros plus cher que détail ?",IF(AND(C290&lt;&gt;"",C290&gt;=D290),"Vendu à perte ?",IF(AND(C290&lt;&gt;"",E290&lt;&gt;"",C290&gt;=E290),"Gros vendu à perte ?","")))))</f>
        <v/>
      </c>
    </row>
    <row r="291" customFormat="false" ht="15" hidden="false" customHeight="false" outlineLevel="0" collapsed="false">
      <c r="A291" s="8" t="s">
        <v>146</v>
      </c>
      <c r="B291" s="8" t="s">
        <v>320</v>
      </c>
      <c r="C291" s="9"/>
      <c r="D291" s="9" t="n">
        <v>1000</v>
      </c>
      <c r="E291" s="9"/>
      <c r="F291" s="9"/>
      <c r="G291" s="10" t="str">
        <f aca="false">IF(B291="","",IF(D291="","Prix détail manquant",IF(AND(E291&lt;&gt;"",E291&gt;D291),"Prix gros plus cher que détail ?",IF(AND(C291&lt;&gt;"",C291&gt;=D291),"Vendu à perte ?",IF(AND(C291&lt;&gt;"",E291&lt;&gt;"",C291&gt;=E291),"Gros vendu à perte ?","")))))</f>
        <v/>
      </c>
    </row>
    <row r="292" customFormat="false" ht="15" hidden="false" customHeight="false" outlineLevel="0" collapsed="false">
      <c r="A292" s="8" t="s">
        <v>146</v>
      </c>
      <c r="B292" s="8" t="s">
        <v>321</v>
      </c>
      <c r="C292" s="9"/>
      <c r="D292" s="9" t="n">
        <v>500</v>
      </c>
      <c r="E292" s="9"/>
      <c r="F292" s="9"/>
      <c r="G292" s="10" t="str">
        <f aca="false">IF(B292="","",IF(D292="","Prix détail manquant",IF(AND(E292&lt;&gt;"",E292&gt;D292),"Prix gros plus cher que détail ?",IF(AND(C292&lt;&gt;"",C292&gt;=D292),"Vendu à perte ?",IF(AND(C292&lt;&gt;"",E292&lt;&gt;"",C292&gt;=E292),"Gros vendu à perte ?","")))))</f>
        <v/>
      </c>
    </row>
    <row r="293" customFormat="false" ht="15" hidden="false" customHeight="false" outlineLevel="0" collapsed="false">
      <c r="A293" s="8" t="s">
        <v>146</v>
      </c>
      <c r="B293" s="8" t="s">
        <v>322</v>
      </c>
      <c r="C293" s="9"/>
      <c r="D293" s="9"/>
      <c r="E293" s="9"/>
      <c r="F293" s="9"/>
      <c r="G293" s="10" t="str">
        <f aca="false">IF(B293="","",IF(D293="","Prix détail manquant",IF(AND(E293&lt;&gt;"",E293&gt;D293),"Prix gros plus cher que détail ?",IF(AND(C293&lt;&gt;"",C293&gt;=D293),"Vendu à perte ?",IF(AND(C293&lt;&gt;"",E293&lt;&gt;"",C293&gt;=E293),"Gros vendu à perte ?","")))))</f>
        <v>Prix détail manquant</v>
      </c>
    </row>
    <row r="294" customFormat="false" ht="15" hidden="false" customHeight="false" outlineLevel="0" collapsed="false">
      <c r="A294" s="8" t="s">
        <v>146</v>
      </c>
      <c r="B294" s="8" t="s">
        <v>323</v>
      </c>
      <c r="C294" s="9"/>
      <c r="D294" s="9" t="n">
        <v>800</v>
      </c>
      <c r="E294" s="9"/>
      <c r="F294" s="9"/>
      <c r="G294" s="10" t="str">
        <f aca="false">IF(B294="","",IF(D294="","Prix détail manquant",IF(AND(E294&lt;&gt;"",E294&gt;D294),"Prix gros plus cher que détail ?",IF(AND(C294&lt;&gt;"",C294&gt;=D294),"Vendu à perte ?",IF(AND(C294&lt;&gt;"",E294&lt;&gt;"",C294&gt;=E294),"Gros vendu à perte ?","")))))</f>
        <v/>
      </c>
    </row>
    <row r="295" customFormat="false" ht="15" hidden="false" customHeight="false" outlineLevel="0" collapsed="false">
      <c r="A295" s="8" t="s">
        <v>146</v>
      </c>
      <c r="B295" s="8" t="s">
        <v>324</v>
      </c>
      <c r="C295" s="9"/>
      <c r="D295" s="9" t="n">
        <v>265</v>
      </c>
      <c r="E295" s="9"/>
      <c r="F295" s="9"/>
      <c r="G295" s="10" t="str">
        <f aca="false">IF(B295="","",IF(D295="","Prix détail manquant",IF(AND(E295&lt;&gt;"",E295&gt;D295),"Prix gros plus cher que détail ?",IF(AND(C295&lt;&gt;"",C295&gt;=D295),"Vendu à perte ?",IF(AND(C295&lt;&gt;"",E295&lt;&gt;"",C295&gt;=E295),"Gros vendu à perte ?","")))))</f>
        <v/>
      </c>
    </row>
    <row r="296" customFormat="false" ht="15" hidden="false" customHeight="false" outlineLevel="0" collapsed="false">
      <c r="A296" s="8" t="s">
        <v>146</v>
      </c>
      <c r="B296" s="8" t="s">
        <v>325</v>
      </c>
      <c r="C296" s="9"/>
      <c r="D296" s="9" t="n">
        <v>150</v>
      </c>
      <c r="E296" s="9"/>
      <c r="F296" s="9"/>
      <c r="G296" s="10" t="str">
        <f aca="false">IF(B296="","",IF(D296="","Prix détail manquant",IF(AND(E296&lt;&gt;"",E296&gt;D296),"Prix gros plus cher que détail ?",IF(AND(C296&lt;&gt;"",C296&gt;=D296),"Vendu à perte ?",IF(AND(C296&lt;&gt;"",E296&lt;&gt;"",C296&gt;=E296),"Gros vendu à perte ?","")))))</f>
        <v/>
      </c>
    </row>
    <row r="297" customFormat="false" ht="15" hidden="false" customHeight="false" outlineLevel="0" collapsed="false">
      <c r="A297" s="8" t="s">
        <v>146</v>
      </c>
      <c r="B297" s="8" t="s">
        <v>326</v>
      </c>
      <c r="C297" s="9"/>
      <c r="D297" s="9" t="n">
        <v>700</v>
      </c>
      <c r="E297" s="9"/>
      <c r="F297" s="9"/>
      <c r="G297" s="10" t="str">
        <f aca="false">IF(B297="","",IF(D297="","Prix détail manquant",IF(AND(E297&lt;&gt;"",E297&gt;D297),"Prix gros plus cher que détail ?",IF(AND(C297&lt;&gt;"",C297&gt;=D297),"Vendu à perte ?",IF(AND(C297&lt;&gt;"",E297&lt;&gt;"",C297&gt;=E297),"Gros vendu à perte ?","")))))</f>
        <v/>
      </c>
    </row>
    <row r="298" customFormat="false" ht="15" hidden="false" customHeight="false" outlineLevel="0" collapsed="false">
      <c r="A298" s="8" t="s">
        <v>146</v>
      </c>
      <c r="B298" s="8" t="s">
        <v>327</v>
      </c>
      <c r="C298" s="9"/>
      <c r="D298" s="9" t="n">
        <v>300</v>
      </c>
      <c r="E298" s="9"/>
      <c r="F298" s="9"/>
      <c r="G298" s="10" t="str">
        <f aca="false">IF(B298="","",IF(D298="","Prix détail manquant",IF(AND(E298&lt;&gt;"",E298&gt;D298),"Prix gros plus cher que détail ?",IF(AND(C298&lt;&gt;"",C298&gt;=D298),"Vendu à perte ?",IF(AND(C298&lt;&gt;"",E298&lt;&gt;"",C298&gt;=E298),"Gros vendu à perte ?","")))))</f>
        <v/>
      </c>
    </row>
    <row r="299" customFormat="false" ht="15" hidden="false" customHeight="false" outlineLevel="0" collapsed="false">
      <c r="A299" s="8" t="s">
        <v>146</v>
      </c>
      <c r="B299" s="8" t="s">
        <v>328</v>
      </c>
      <c r="C299" s="9"/>
      <c r="D299" s="9" t="n">
        <v>85</v>
      </c>
      <c r="E299" s="9"/>
      <c r="F299" s="9"/>
      <c r="G299" s="10" t="str">
        <f aca="false">IF(B299="","",IF(D299="","Prix détail manquant",IF(AND(E299&lt;&gt;"",E299&gt;D299),"Prix gros plus cher que détail ?",IF(AND(C299&lt;&gt;"",C299&gt;=D299),"Vendu à perte ?",IF(AND(C299&lt;&gt;"",E299&lt;&gt;"",C299&gt;=E299),"Gros vendu à perte ?","")))))</f>
        <v/>
      </c>
    </row>
    <row r="300" customFormat="false" ht="15" hidden="false" customHeight="false" outlineLevel="0" collapsed="false">
      <c r="A300" s="8" t="s">
        <v>146</v>
      </c>
      <c r="B300" s="8" t="s">
        <v>329</v>
      </c>
      <c r="C300" s="9"/>
      <c r="D300" s="9" t="n">
        <v>5500</v>
      </c>
      <c r="E300" s="9"/>
      <c r="F300" s="9"/>
      <c r="G300" s="10" t="str">
        <f aca="false">IF(B300="","",IF(D300="","Prix détail manquant",IF(AND(E300&lt;&gt;"",E300&gt;D300),"Prix gros plus cher que détail ?",IF(AND(C300&lt;&gt;"",C300&gt;=D300),"Vendu à perte ?",IF(AND(C300&lt;&gt;"",E300&lt;&gt;"",C300&gt;=E300),"Gros vendu à perte ?","")))))</f>
        <v/>
      </c>
    </row>
    <row r="301" customFormat="false" ht="15" hidden="false" customHeight="false" outlineLevel="0" collapsed="false">
      <c r="A301" s="8" t="s">
        <v>146</v>
      </c>
      <c r="B301" s="8" t="s">
        <v>330</v>
      </c>
      <c r="C301" s="9"/>
      <c r="D301" s="9" t="n">
        <v>70</v>
      </c>
      <c r="E301" s="9"/>
      <c r="F301" s="9"/>
      <c r="G301" s="10" t="str">
        <f aca="false">IF(B301="","",IF(D301="","Prix détail manquant",IF(AND(E301&lt;&gt;"",E301&gt;D301),"Prix gros plus cher que détail ?",IF(AND(C301&lt;&gt;"",C301&gt;=D301),"Vendu à perte ?",IF(AND(C301&lt;&gt;"",E301&lt;&gt;"",C301&gt;=E301),"Gros vendu à perte ?","")))))</f>
        <v/>
      </c>
    </row>
    <row r="302" customFormat="false" ht="15" hidden="false" customHeight="false" outlineLevel="0" collapsed="false">
      <c r="A302" s="8" t="s">
        <v>146</v>
      </c>
      <c r="B302" s="8" t="s">
        <v>331</v>
      </c>
      <c r="C302" s="9"/>
      <c r="D302" s="9" t="n">
        <v>135</v>
      </c>
      <c r="E302" s="9"/>
      <c r="F302" s="9"/>
      <c r="G302" s="10" t="str">
        <f aca="false">IF(B302="","",IF(D302="","Prix détail manquant",IF(AND(E302&lt;&gt;"",E302&gt;D302),"Prix gros plus cher que détail ?",IF(AND(C302&lt;&gt;"",C302&gt;=D302),"Vendu à perte ?",IF(AND(C302&lt;&gt;"",E302&lt;&gt;"",C302&gt;=E302),"Gros vendu à perte ?","")))))</f>
        <v/>
      </c>
    </row>
    <row r="303" customFormat="false" ht="15" hidden="false" customHeight="false" outlineLevel="0" collapsed="false">
      <c r="A303" s="8" t="s">
        <v>146</v>
      </c>
      <c r="B303" s="8" t="s">
        <v>332</v>
      </c>
      <c r="C303" s="9"/>
      <c r="D303" s="9" t="n">
        <v>435</v>
      </c>
      <c r="E303" s="9"/>
      <c r="F303" s="9"/>
      <c r="G303" s="10" t="str">
        <f aca="false">IF(B303="","",IF(D303="","Prix détail manquant",IF(AND(E303&lt;&gt;"",E303&gt;D303),"Prix gros plus cher que détail ?",IF(AND(C303&lt;&gt;"",C303&gt;=D303),"Vendu à perte ?",IF(AND(C303&lt;&gt;"",E303&lt;&gt;"",C303&gt;=E303),"Gros vendu à perte ?","")))))</f>
        <v/>
      </c>
    </row>
    <row r="304" customFormat="false" ht="15" hidden="false" customHeight="false" outlineLevel="0" collapsed="false">
      <c r="A304" s="8" t="s">
        <v>146</v>
      </c>
      <c r="B304" s="8" t="s">
        <v>333</v>
      </c>
      <c r="C304" s="9"/>
      <c r="D304" s="9" t="n">
        <v>700</v>
      </c>
      <c r="E304" s="9"/>
      <c r="F304" s="9"/>
      <c r="G304" s="10" t="str">
        <f aca="false">IF(B304="","",IF(D304="","Prix détail manquant",IF(AND(E304&lt;&gt;"",E304&gt;D304),"Prix gros plus cher que détail ?",IF(AND(C304&lt;&gt;"",C304&gt;=D304),"Vendu à perte ?",IF(AND(C304&lt;&gt;"",E304&lt;&gt;"",C304&gt;=E304),"Gros vendu à perte ?","")))))</f>
        <v/>
      </c>
    </row>
    <row r="305" customFormat="false" ht="15" hidden="false" customHeight="false" outlineLevel="0" collapsed="false">
      <c r="A305" s="8" t="s">
        <v>146</v>
      </c>
      <c r="B305" s="8" t="s">
        <v>334</v>
      </c>
      <c r="C305" s="9"/>
      <c r="D305" s="9" t="n">
        <v>600</v>
      </c>
      <c r="E305" s="9"/>
      <c r="F305" s="9"/>
      <c r="G305" s="10" t="str">
        <f aca="false">IF(B305="","",IF(D305="","Prix détail manquant",IF(AND(E305&lt;&gt;"",E305&gt;D305),"Prix gros plus cher que détail ?",IF(AND(C305&lt;&gt;"",C305&gt;=D305),"Vendu à perte ?",IF(AND(C305&lt;&gt;"",E305&lt;&gt;"",C305&gt;=E305),"Gros vendu à perte ?","")))))</f>
        <v/>
      </c>
    </row>
    <row r="306" customFormat="false" ht="15" hidden="false" customHeight="false" outlineLevel="0" collapsed="false">
      <c r="A306" s="8" t="s">
        <v>146</v>
      </c>
      <c r="B306" s="8" t="s">
        <v>335</v>
      </c>
      <c r="C306" s="9"/>
      <c r="D306" s="9" t="n">
        <v>800</v>
      </c>
      <c r="E306" s="9"/>
      <c r="F306" s="9"/>
      <c r="G306" s="10" t="str">
        <f aca="false">IF(B306="","",IF(D306="","Prix détail manquant",IF(AND(E306&lt;&gt;"",E306&gt;D306),"Prix gros plus cher que détail ?",IF(AND(C306&lt;&gt;"",C306&gt;=D306),"Vendu à perte ?",IF(AND(C306&lt;&gt;"",E306&lt;&gt;"",C306&gt;=E306),"Gros vendu à perte ?","")))))</f>
        <v/>
      </c>
    </row>
    <row r="307" customFormat="false" ht="15" hidden="false" customHeight="false" outlineLevel="0" collapsed="false">
      <c r="A307" s="8" t="s">
        <v>146</v>
      </c>
      <c r="B307" s="8" t="s">
        <v>336</v>
      </c>
      <c r="C307" s="9"/>
      <c r="D307" s="9" t="n">
        <v>600</v>
      </c>
      <c r="E307" s="9"/>
      <c r="F307" s="9"/>
      <c r="G307" s="10" t="str">
        <f aca="false">IF(B307="","",IF(D307="","Prix détail manquant",IF(AND(E307&lt;&gt;"",E307&gt;D307),"Prix gros plus cher que détail ?",IF(AND(C307&lt;&gt;"",C307&gt;=D307),"Vendu à perte ?",IF(AND(C307&lt;&gt;"",E307&lt;&gt;"",C307&gt;=E307),"Gros vendu à perte ?","")))))</f>
        <v/>
      </c>
    </row>
    <row r="308" customFormat="false" ht="15" hidden="false" customHeight="false" outlineLevel="0" collapsed="false">
      <c r="A308" s="8" t="s">
        <v>146</v>
      </c>
      <c r="B308" s="8" t="s">
        <v>337</v>
      </c>
      <c r="C308" s="9"/>
      <c r="D308" s="9" t="n">
        <v>1700</v>
      </c>
      <c r="E308" s="9"/>
      <c r="F308" s="9"/>
      <c r="G308" s="10" t="str">
        <f aca="false">IF(B308="","",IF(D308="","Prix détail manquant",IF(AND(E308&lt;&gt;"",E308&gt;D308),"Prix gros plus cher que détail ?",IF(AND(C308&lt;&gt;"",C308&gt;=D308),"Vendu à perte ?",IF(AND(C308&lt;&gt;"",E308&lt;&gt;"",C308&gt;=E308),"Gros vendu à perte ?","")))))</f>
        <v/>
      </c>
    </row>
    <row r="309" customFormat="false" ht="15" hidden="false" customHeight="false" outlineLevel="0" collapsed="false">
      <c r="A309" s="8" t="s">
        <v>146</v>
      </c>
      <c r="B309" s="8" t="s">
        <v>338</v>
      </c>
      <c r="C309" s="9"/>
      <c r="D309" s="9" t="n">
        <v>100</v>
      </c>
      <c r="E309" s="9"/>
      <c r="F309" s="9"/>
      <c r="G309" s="10" t="str">
        <f aca="false">IF(B309="","",IF(D309="","Prix détail manquant",IF(AND(E309&lt;&gt;"",E309&gt;D309),"Prix gros plus cher que détail ?",IF(AND(C309&lt;&gt;"",C309&gt;=D309),"Vendu à perte ?",IF(AND(C309&lt;&gt;"",E309&lt;&gt;"",C309&gt;=E309),"Gros vendu à perte ?","")))))</f>
        <v/>
      </c>
    </row>
    <row r="310" customFormat="false" ht="15" hidden="false" customHeight="false" outlineLevel="0" collapsed="false">
      <c r="A310" s="8" t="s">
        <v>146</v>
      </c>
      <c r="B310" s="8" t="s">
        <v>339</v>
      </c>
      <c r="C310" s="9"/>
      <c r="D310" s="9" t="n">
        <v>400</v>
      </c>
      <c r="E310" s="9"/>
      <c r="F310" s="9"/>
      <c r="G310" s="10" t="str">
        <f aca="false">IF(B310="","",IF(D310="","Prix détail manquant",IF(AND(E310&lt;&gt;"",E310&gt;D310),"Prix gros plus cher que détail ?",IF(AND(C310&lt;&gt;"",C310&gt;=D310),"Vendu à perte ?",IF(AND(C310&lt;&gt;"",E310&lt;&gt;"",C310&gt;=E310),"Gros vendu à perte ?","")))))</f>
        <v/>
      </c>
    </row>
    <row r="311" customFormat="false" ht="15" hidden="false" customHeight="false" outlineLevel="0" collapsed="false">
      <c r="A311" s="8" t="s">
        <v>146</v>
      </c>
      <c r="B311" s="8" t="s">
        <v>340</v>
      </c>
      <c r="C311" s="9"/>
      <c r="D311" s="9" t="n">
        <v>250</v>
      </c>
      <c r="E311" s="9"/>
      <c r="F311" s="9"/>
      <c r="G311" s="10" t="str">
        <f aca="false">IF(B311="","",IF(D311="","Prix détail manquant",IF(AND(E311&lt;&gt;"",E311&gt;D311),"Prix gros plus cher que détail ?",IF(AND(C311&lt;&gt;"",C311&gt;=D311),"Vendu à perte ?",IF(AND(C311&lt;&gt;"",E311&lt;&gt;"",C311&gt;=E311),"Gros vendu à perte ?","")))))</f>
        <v/>
      </c>
    </row>
    <row r="312" customFormat="false" ht="15" hidden="false" customHeight="false" outlineLevel="0" collapsed="false">
      <c r="A312" s="8" t="s">
        <v>146</v>
      </c>
      <c r="B312" s="8" t="s">
        <v>341</v>
      </c>
      <c r="C312" s="9"/>
      <c r="D312" s="9" t="n">
        <v>800</v>
      </c>
      <c r="E312" s="9"/>
      <c r="F312" s="9"/>
      <c r="G312" s="10" t="str">
        <f aca="false">IF(B312="","",IF(D312="","Prix détail manquant",IF(AND(E312&lt;&gt;"",E312&gt;D312),"Prix gros plus cher que détail ?",IF(AND(C312&lt;&gt;"",C312&gt;=D312),"Vendu à perte ?",IF(AND(C312&lt;&gt;"",E312&lt;&gt;"",C312&gt;=E312),"Gros vendu à perte ?","")))))</f>
        <v/>
      </c>
    </row>
    <row r="313" customFormat="false" ht="15" hidden="false" customHeight="false" outlineLevel="0" collapsed="false">
      <c r="A313" s="8" t="s">
        <v>146</v>
      </c>
      <c r="B313" s="8" t="s">
        <v>342</v>
      </c>
      <c r="C313" s="9"/>
      <c r="D313" s="9" t="n">
        <v>5500</v>
      </c>
      <c r="E313" s="9"/>
      <c r="F313" s="9"/>
      <c r="G313" s="10" t="str">
        <f aca="false">IF(B313="","",IF(D313="","Prix détail manquant",IF(AND(E313&lt;&gt;"",E313&gt;D313),"Prix gros plus cher que détail ?",IF(AND(C313&lt;&gt;"",C313&gt;=D313),"Vendu à perte ?",IF(AND(C313&lt;&gt;"",E313&lt;&gt;"",C313&gt;=E313),"Gros vendu à perte ?","")))))</f>
        <v/>
      </c>
    </row>
    <row r="314" customFormat="false" ht="15" hidden="false" customHeight="false" outlineLevel="0" collapsed="false">
      <c r="A314" s="8" t="s">
        <v>146</v>
      </c>
      <c r="B314" s="8" t="s">
        <v>343</v>
      </c>
      <c r="C314" s="9"/>
      <c r="D314" s="9" t="n">
        <v>6000</v>
      </c>
      <c r="E314" s="9"/>
      <c r="F314" s="9"/>
      <c r="G314" s="10" t="str">
        <f aca="false">IF(B314="","",IF(D314="","Prix détail manquant",IF(AND(E314&lt;&gt;"",E314&gt;D314),"Prix gros plus cher que détail ?",IF(AND(C314&lt;&gt;"",C314&gt;=D314),"Vendu à perte ?",IF(AND(C314&lt;&gt;"",E314&lt;&gt;"",C314&gt;=E314),"Gros vendu à perte ?","")))))</f>
        <v/>
      </c>
    </row>
    <row r="315" customFormat="false" ht="15" hidden="false" customHeight="false" outlineLevel="0" collapsed="false">
      <c r="A315" s="8" t="s">
        <v>146</v>
      </c>
      <c r="B315" s="8" t="s">
        <v>344</v>
      </c>
      <c r="C315" s="9"/>
      <c r="D315" s="9" t="n">
        <v>4000</v>
      </c>
      <c r="E315" s="9"/>
      <c r="F315" s="9"/>
      <c r="G315" s="10" t="str">
        <f aca="false">IF(B315="","",IF(D315="","Prix détail manquant",IF(AND(E315&lt;&gt;"",E315&gt;D315),"Prix gros plus cher que détail ?",IF(AND(C315&lt;&gt;"",C315&gt;=D315),"Vendu à perte ?",IF(AND(C315&lt;&gt;"",E315&lt;&gt;"",C315&gt;=E315),"Gros vendu à perte ?","")))))</f>
        <v/>
      </c>
    </row>
    <row r="316" customFormat="false" ht="15" hidden="false" customHeight="false" outlineLevel="0" collapsed="false">
      <c r="A316" s="8" t="s">
        <v>146</v>
      </c>
      <c r="B316" s="8" t="s">
        <v>345</v>
      </c>
      <c r="C316" s="9"/>
      <c r="D316" s="9" t="n">
        <v>2000</v>
      </c>
      <c r="E316" s="9"/>
      <c r="F316" s="9"/>
      <c r="G316" s="10" t="str">
        <f aca="false">IF(B316="","",IF(D316="","Prix détail manquant",IF(AND(E316&lt;&gt;"",E316&gt;D316),"Prix gros plus cher que détail ?",IF(AND(C316&lt;&gt;"",C316&gt;=D316),"Vendu à perte ?",IF(AND(C316&lt;&gt;"",E316&lt;&gt;"",C316&gt;=E316),"Gros vendu à perte ?","")))))</f>
        <v/>
      </c>
    </row>
    <row r="317" customFormat="false" ht="15" hidden="false" customHeight="false" outlineLevel="0" collapsed="false">
      <c r="A317" s="8" t="s">
        <v>146</v>
      </c>
      <c r="B317" s="8" t="s">
        <v>346</v>
      </c>
      <c r="C317" s="9"/>
      <c r="D317" s="9" t="n">
        <v>2000</v>
      </c>
      <c r="E317" s="9"/>
      <c r="F317" s="9"/>
      <c r="G317" s="10" t="str">
        <f aca="false">IF(B317="","",IF(D317="","Prix détail manquant",IF(AND(E317&lt;&gt;"",E317&gt;D317),"Prix gros plus cher que détail ?",IF(AND(C317&lt;&gt;"",C317&gt;=D317),"Vendu à perte ?",IF(AND(C317&lt;&gt;"",E317&lt;&gt;"",C317&gt;=E317),"Gros vendu à perte ?","")))))</f>
        <v/>
      </c>
    </row>
    <row r="318" customFormat="false" ht="15" hidden="false" customHeight="false" outlineLevel="0" collapsed="false">
      <c r="A318" s="11"/>
      <c r="B318" s="11"/>
      <c r="C318" s="9"/>
      <c r="D318" s="9"/>
      <c r="E318" s="9"/>
      <c r="F318" s="9"/>
      <c r="G318" s="10" t="str">
        <f aca="false">IF(B318="","",IF(D318="","Prix détail manquant",IF(AND(E318&lt;&gt;"",E318&gt;D318),"Prix gros plus cher que détail ?",IF(AND(C318&lt;&gt;"",C318&gt;=D318),"Vendu à perte ?",IF(AND(C318&lt;&gt;"",E318&lt;&gt;"",C318&gt;=E318),"Gros vendu à perte ?","")))))</f>
        <v/>
      </c>
    </row>
    <row r="319" customFormat="false" ht="15" hidden="false" customHeight="false" outlineLevel="0" collapsed="false">
      <c r="A319" s="11"/>
      <c r="B319" s="11"/>
      <c r="C319" s="9"/>
      <c r="D319" s="9"/>
      <c r="E319" s="9"/>
      <c r="F319" s="9"/>
      <c r="G319" s="10" t="str">
        <f aca="false">IF(B319="","",IF(D319="","Prix détail manquant",IF(AND(E319&lt;&gt;"",E319&gt;D319),"Prix gros plus cher que détail ?",IF(AND(C319&lt;&gt;"",C319&gt;=D319),"Vendu à perte ?",IF(AND(C319&lt;&gt;"",E319&lt;&gt;"",C319&gt;=E319),"Gros vendu à perte ?","")))))</f>
        <v/>
      </c>
    </row>
    <row r="320" customFormat="false" ht="15" hidden="false" customHeight="false" outlineLevel="0" collapsed="false">
      <c r="A320" s="11"/>
      <c r="B320" s="11"/>
      <c r="C320" s="9"/>
      <c r="D320" s="9"/>
      <c r="E320" s="9"/>
      <c r="F320" s="9"/>
      <c r="G320" s="10" t="str">
        <f aca="false">IF(B320="","",IF(D320="","Prix détail manquant",IF(AND(E320&lt;&gt;"",E320&gt;D320),"Prix gros plus cher que détail ?",IF(AND(C320&lt;&gt;"",C320&gt;=D320),"Vendu à perte ?",IF(AND(C320&lt;&gt;"",E320&lt;&gt;"",C320&gt;=E320),"Gros vendu à perte ?","")))))</f>
        <v/>
      </c>
    </row>
    <row r="321" customFormat="false" ht="15" hidden="false" customHeight="false" outlineLevel="0" collapsed="false">
      <c r="A321" s="11"/>
      <c r="B321" s="11"/>
      <c r="C321" s="9"/>
      <c r="D321" s="9"/>
      <c r="E321" s="9"/>
      <c r="F321" s="9"/>
      <c r="G321" s="10" t="str">
        <f aca="false">IF(B321="","",IF(D321="","Prix détail manquant",IF(AND(E321&lt;&gt;"",E321&gt;D321),"Prix gros plus cher que détail ?",IF(AND(C321&lt;&gt;"",C321&gt;=D321),"Vendu à perte ?",IF(AND(C321&lt;&gt;"",E321&lt;&gt;"",C321&gt;=E321),"Gros vendu à perte ?","")))))</f>
        <v/>
      </c>
    </row>
    <row r="322" customFormat="false" ht="15" hidden="false" customHeight="false" outlineLevel="0" collapsed="false">
      <c r="A322" s="11"/>
      <c r="B322" s="11"/>
      <c r="C322" s="9"/>
      <c r="D322" s="9"/>
      <c r="E322" s="9"/>
      <c r="F322" s="9"/>
      <c r="G322" s="10" t="str">
        <f aca="false">IF(B322="","",IF(D322="","Prix détail manquant",IF(AND(E322&lt;&gt;"",E322&gt;D322),"Prix gros plus cher que détail ?",IF(AND(C322&lt;&gt;"",C322&gt;=D322),"Vendu à perte ?",IF(AND(C322&lt;&gt;"",E322&lt;&gt;"",C322&gt;=E322),"Gros vendu à perte ?","")))))</f>
        <v/>
      </c>
    </row>
    <row r="323" customFormat="false" ht="15" hidden="false" customHeight="false" outlineLevel="0" collapsed="false">
      <c r="A323" s="11"/>
      <c r="B323" s="11"/>
      <c r="C323" s="9"/>
      <c r="D323" s="9"/>
      <c r="E323" s="9"/>
      <c r="F323" s="9"/>
      <c r="G323" s="10" t="str">
        <f aca="false">IF(B323="","",IF(D323="","Prix détail manquant",IF(AND(E323&lt;&gt;"",E323&gt;D323),"Prix gros plus cher que détail ?",IF(AND(C323&lt;&gt;"",C323&gt;=D323),"Vendu à perte ?",IF(AND(C323&lt;&gt;"",E323&lt;&gt;"",C323&gt;=E323),"Gros vendu à perte ?","")))))</f>
        <v/>
      </c>
    </row>
    <row r="324" customFormat="false" ht="15" hidden="false" customHeight="false" outlineLevel="0" collapsed="false">
      <c r="A324" s="11"/>
      <c r="B324" s="11"/>
      <c r="C324" s="9"/>
      <c r="D324" s="9"/>
      <c r="E324" s="9"/>
      <c r="F324" s="9"/>
      <c r="G324" s="10" t="str">
        <f aca="false">IF(B324="","",IF(D324="","Prix détail manquant",IF(AND(E324&lt;&gt;"",E324&gt;D324),"Prix gros plus cher que détail ?",IF(AND(C324&lt;&gt;"",C324&gt;=D324),"Vendu à perte ?",IF(AND(C324&lt;&gt;"",E324&lt;&gt;"",C324&gt;=E324),"Gros vendu à perte ?","")))))</f>
        <v/>
      </c>
    </row>
    <row r="325" customFormat="false" ht="15" hidden="false" customHeight="false" outlineLevel="0" collapsed="false">
      <c r="A325" s="11"/>
      <c r="B325" s="11"/>
      <c r="C325" s="9"/>
      <c r="D325" s="9"/>
      <c r="E325" s="9"/>
      <c r="F325" s="9"/>
      <c r="G325" s="10" t="str">
        <f aca="false">IF(B325="","",IF(D325="","Prix détail manquant",IF(AND(E325&lt;&gt;"",E325&gt;D325),"Prix gros plus cher que détail ?",IF(AND(C325&lt;&gt;"",C325&gt;=D325),"Vendu à perte ?",IF(AND(C325&lt;&gt;"",E325&lt;&gt;"",C325&gt;=E325),"Gros vendu à perte ?","")))))</f>
        <v/>
      </c>
    </row>
    <row r="326" customFormat="false" ht="15" hidden="false" customHeight="false" outlineLevel="0" collapsed="false">
      <c r="A326" s="11"/>
      <c r="B326" s="11"/>
      <c r="C326" s="9"/>
      <c r="D326" s="9"/>
      <c r="E326" s="9"/>
      <c r="F326" s="9"/>
      <c r="G326" s="10" t="str">
        <f aca="false">IF(B326="","",IF(D326="","Prix détail manquant",IF(AND(E326&lt;&gt;"",E326&gt;D326),"Prix gros plus cher que détail ?",IF(AND(C326&lt;&gt;"",C326&gt;=D326),"Vendu à perte ?",IF(AND(C326&lt;&gt;"",E326&lt;&gt;"",C326&gt;=E326),"Gros vendu à perte ?","")))))</f>
        <v/>
      </c>
    </row>
    <row r="327" customFormat="false" ht="15" hidden="false" customHeight="false" outlineLevel="0" collapsed="false">
      <c r="A327" s="11"/>
      <c r="B327" s="11"/>
      <c r="C327" s="9"/>
      <c r="D327" s="9"/>
      <c r="E327" s="9"/>
      <c r="F327" s="9"/>
      <c r="G327" s="10" t="str">
        <f aca="false">IF(B327="","",IF(D327="","Prix détail manquant",IF(AND(E327&lt;&gt;"",E327&gt;D327),"Prix gros plus cher que détail ?",IF(AND(C327&lt;&gt;"",C327&gt;=D327),"Vendu à perte ?",IF(AND(C327&lt;&gt;"",E327&lt;&gt;"",C327&gt;=E327),"Gros vendu à perte ?","")))))</f>
        <v/>
      </c>
    </row>
    <row r="328" customFormat="false" ht="15" hidden="false" customHeight="false" outlineLevel="0" collapsed="false">
      <c r="A328" s="11"/>
      <c r="B328" s="11"/>
      <c r="C328" s="9"/>
      <c r="D328" s="9"/>
      <c r="E328" s="9"/>
      <c r="F328" s="9"/>
      <c r="G328" s="10" t="str">
        <f aca="false">IF(B328="","",IF(D328="","Prix détail manquant",IF(AND(E328&lt;&gt;"",E328&gt;D328),"Prix gros plus cher que détail ?",IF(AND(C328&lt;&gt;"",C328&gt;=D328),"Vendu à perte ?",IF(AND(C328&lt;&gt;"",E328&lt;&gt;"",C328&gt;=E328),"Gros vendu à perte ?","")))))</f>
        <v/>
      </c>
    </row>
    <row r="329" customFormat="false" ht="15" hidden="false" customHeight="false" outlineLevel="0" collapsed="false">
      <c r="A329" s="11"/>
      <c r="B329" s="11"/>
      <c r="C329" s="9"/>
      <c r="D329" s="9"/>
      <c r="E329" s="9"/>
      <c r="F329" s="9"/>
      <c r="G329" s="10" t="str">
        <f aca="false">IF(B329="","",IF(D329="","Prix détail manquant",IF(AND(E329&lt;&gt;"",E329&gt;D329),"Prix gros plus cher que détail ?",IF(AND(C329&lt;&gt;"",C329&gt;=D329),"Vendu à perte ?",IF(AND(C329&lt;&gt;"",E329&lt;&gt;"",C329&gt;=E329),"Gros vendu à perte ?","")))))</f>
        <v/>
      </c>
    </row>
    <row r="330" customFormat="false" ht="15" hidden="false" customHeight="false" outlineLevel="0" collapsed="false">
      <c r="A330" s="11"/>
      <c r="B330" s="11"/>
      <c r="C330" s="9"/>
      <c r="D330" s="9"/>
      <c r="E330" s="9"/>
      <c r="F330" s="9"/>
      <c r="G330" s="10" t="str">
        <f aca="false">IF(B330="","",IF(D330="","Prix détail manquant",IF(AND(E330&lt;&gt;"",E330&gt;D330),"Prix gros plus cher que détail ?",IF(AND(C330&lt;&gt;"",C330&gt;=D330),"Vendu à perte ?",IF(AND(C330&lt;&gt;"",E330&lt;&gt;"",C330&gt;=E330),"Gros vendu à perte ?","")))))</f>
        <v/>
      </c>
    </row>
    <row r="331" customFormat="false" ht="15" hidden="false" customHeight="false" outlineLevel="0" collapsed="false">
      <c r="A331" s="11"/>
      <c r="B331" s="11"/>
      <c r="C331" s="9"/>
      <c r="D331" s="9"/>
      <c r="E331" s="9"/>
      <c r="F331" s="9"/>
      <c r="G331" s="10" t="str">
        <f aca="false">IF(B331="","",IF(D331="","Prix détail manquant",IF(AND(E331&lt;&gt;"",E331&gt;D331),"Prix gros plus cher que détail ?",IF(AND(C331&lt;&gt;"",C331&gt;=D331),"Vendu à perte ?",IF(AND(C331&lt;&gt;"",E331&lt;&gt;"",C331&gt;=E331),"Gros vendu à perte ?","")))))</f>
        <v/>
      </c>
    </row>
    <row r="332" customFormat="false" ht="15" hidden="false" customHeight="false" outlineLevel="0" collapsed="false">
      <c r="A332" s="11"/>
      <c r="B332" s="11"/>
      <c r="C332" s="9"/>
      <c r="D332" s="9"/>
      <c r="E332" s="9"/>
      <c r="F332" s="9"/>
      <c r="G332" s="10" t="str">
        <f aca="false">IF(B332="","",IF(D332="","Prix détail manquant",IF(AND(E332&lt;&gt;"",E332&gt;D332),"Prix gros plus cher que détail ?",IF(AND(C332&lt;&gt;"",C332&gt;=D332),"Vendu à perte ?",IF(AND(C332&lt;&gt;"",E332&lt;&gt;"",C332&gt;=E332),"Gros vendu à perte ?","")))))</f>
        <v/>
      </c>
    </row>
    <row r="333" customFormat="false" ht="15" hidden="false" customHeight="false" outlineLevel="0" collapsed="false">
      <c r="A333" s="11"/>
      <c r="B333" s="11"/>
      <c r="C333" s="9"/>
      <c r="D333" s="9"/>
      <c r="E333" s="9"/>
      <c r="F333" s="9"/>
      <c r="G333" s="10" t="str">
        <f aca="false">IF(B333="","",IF(D333="","Prix détail manquant",IF(AND(E333&lt;&gt;"",E333&gt;D333),"Prix gros plus cher que détail ?",IF(AND(C333&lt;&gt;"",C333&gt;=D333),"Vendu à perte ?",IF(AND(C333&lt;&gt;"",E333&lt;&gt;"",C333&gt;=E333),"Gros vendu à perte ?","")))))</f>
        <v/>
      </c>
    </row>
    <row r="334" customFormat="false" ht="15" hidden="false" customHeight="false" outlineLevel="0" collapsed="false">
      <c r="A334" s="11"/>
      <c r="B334" s="11"/>
      <c r="C334" s="9"/>
      <c r="D334" s="9"/>
      <c r="E334" s="9"/>
      <c r="F334" s="9"/>
      <c r="G334" s="10" t="str">
        <f aca="false">IF(B334="","",IF(D334="","Prix détail manquant",IF(AND(E334&lt;&gt;"",E334&gt;D334),"Prix gros plus cher que détail ?",IF(AND(C334&lt;&gt;"",C334&gt;=D334),"Vendu à perte ?",IF(AND(C334&lt;&gt;"",E334&lt;&gt;"",C334&gt;=E334),"Gros vendu à perte ?","")))))</f>
        <v/>
      </c>
    </row>
    <row r="335" customFormat="false" ht="15" hidden="false" customHeight="false" outlineLevel="0" collapsed="false">
      <c r="A335" s="11"/>
      <c r="B335" s="11"/>
      <c r="C335" s="9"/>
      <c r="D335" s="9"/>
      <c r="E335" s="9"/>
      <c r="F335" s="9"/>
      <c r="G335" s="10" t="str">
        <f aca="false">IF(B335="","",IF(D335="","Prix détail manquant",IF(AND(E335&lt;&gt;"",E335&gt;D335),"Prix gros plus cher que détail ?",IF(AND(C335&lt;&gt;"",C335&gt;=D335),"Vendu à perte ?",IF(AND(C335&lt;&gt;"",E335&lt;&gt;"",C335&gt;=E335),"Gros vendu à perte ?","")))))</f>
        <v/>
      </c>
    </row>
    <row r="336" customFormat="false" ht="15" hidden="false" customHeight="false" outlineLevel="0" collapsed="false">
      <c r="A336" s="11"/>
      <c r="B336" s="11"/>
      <c r="C336" s="9"/>
      <c r="D336" s="9"/>
      <c r="E336" s="9"/>
      <c r="F336" s="9"/>
      <c r="G336" s="10" t="str">
        <f aca="false">IF(B336="","",IF(D336="","Prix détail manquant",IF(AND(E336&lt;&gt;"",E336&gt;D336),"Prix gros plus cher que détail ?",IF(AND(C336&lt;&gt;"",C336&gt;=D336),"Vendu à perte ?",IF(AND(C336&lt;&gt;"",E336&lt;&gt;"",C336&gt;=E336),"Gros vendu à perte ?","")))))</f>
        <v/>
      </c>
    </row>
    <row r="337" customFormat="false" ht="15" hidden="false" customHeight="false" outlineLevel="0" collapsed="false">
      <c r="A337" s="11"/>
      <c r="B337" s="11"/>
      <c r="C337" s="9"/>
      <c r="D337" s="9"/>
      <c r="E337" s="9"/>
      <c r="F337" s="9"/>
      <c r="G337" s="10" t="str">
        <f aca="false">IF(B337="","",IF(D337="","Prix détail manquant",IF(AND(E337&lt;&gt;"",E337&gt;D337),"Prix gros plus cher que détail ?",IF(AND(C337&lt;&gt;"",C337&gt;=D337),"Vendu à perte ?",IF(AND(C337&lt;&gt;"",E337&lt;&gt;"",C337&gt;=E337),"Gros vendu à perte ?","")))))</f>
        <v/>
      </c>
    </row>
    <row r="338" customFormat="false" ht="15" hidden="false" customHeight="false" outlineLevel="0" collapsed="false">
      <c r="A338" s="11"/>
      <c r="B338" s="11"/>
      <c r="C338" s="9"/>
      <c r="D338" s="9"/>
      <c r="E338" s="9"/>
      <c r="F338" s="9"/>
      <c r="G338" s="10" t="str">
        <f aca="false">IF(B338="","",IF(D338="","Prix détail manquant",IF(AND(E338&lt;&gt;"",E338&gt;D338),"Prix gros plus cher que détail ?",IF(AND(C338&lt;&gt;"",C338&gt;=D338),"Vendu à perte ?",IF(AND(C338&lt;&gt;"",E338&lt;&gt;"",C338&gt;=E338),"Gros vendu à perte ?","")))))</f>
        <v/>
      </c>
    </row>
    <row r="339" customFormat="false" ht="15" hidden="false" customHeight="false" outlineLevel="0" collapsed="false">
      <c r="A339" s="11"/>
      <c r="B339" s="11"/>
      <c r="C339" s="9"/>
      <c r="D339" s="9"/>
      <c r="E339" s="9"/>
      <c r="F339" s="9"/>
      <c r="G339" s="10" t="str">
        <f aca="false">IF(B339="","",IF(D339="","Prix détail manquant",IF(AND(E339&lt;&gt;"",E339&gt;D339),"Prix gros plus cher que détail ?",IF(AND(C339&lt;&gt;"",C339&gt;=D339),"Vendu à perte ?",IF(AND(C339&lt;&gt;"",E339&lt;&gt;"",C339&gt;=E339),"Gros vendu à perte ?","")))))</f>
        <v/>
      </c>
    </row>
    <row r="340" customFormat="false" ht="15" hidden="false" customHeight="false" outlineLevel="0" collapsed="false">
      <c r="A340" s="11"/>
      <c r="B340" s="11"/>
      <c r="C340" s="9"/>
      <c r="D340" s="9"/>
      <c r="E340" s="9"/>
      <c r="F340" s="9"/>
      <c r="G340" s="10" t="str">
        <f aca="false">IF(B340="","",IF(D340="","Prix détail manquant",IF(AND(E340&lt;&gt;"",E340&gt;D340),"Prix gros plus cher que détail ?",IF(AND(C340&lt;&gt;"",C340&gt;=D340),"Vendu à perte ?",IF(AND(C340&lt;&gt;"",E340&lt;&gt;"",C340&gt;=E340),"Gros vendu à perte ?","")))))</f>
        <v/>
      </c>
    </row>
    <row r="341" customFormat="false" ht="15" hidden="false" customHeight="false" outlineLevel="0" collapsed="false">
      <c r="A341" s="11"/>
      <c r="B341" s="11"/>
      <c r="C341" s="9"/>
      <c r="D341" s="9"/>
      <c r="E341" s="9"/>
      <c r="F341" s="9"/>
      <c r="G341" s="10" t="str">
        <f aca="false">IF(B341="","",IF(D341="","Prix détail manquant",IF(AND(E341&lt;&gt;"",E341&gt;D341),"Prix gros plus cher que détail ?",IF(AND(C341&lt;&gt;"",C341&gt;=D341),"Vendu à perte ?",IF(AND(C341&lt;&gt;"",E341&lt;&gt;"",C341&gt;=E341),"Gros vendu à perte ?","")))))</f>
        <v/>
      </c>
    </row>
    <row r="342" customFormat="false" ht="15" hidden="false" customHeight="false" outlineLevel="0" collapsed="false">
      <c r="A342" s="11"/>
      <c r="B342" s="11"/>
      <c r="C342" s="9"/>
      <c r="D342" s="9"/>
      <c r="E342" s="9"/>
      <c r="F342" s="9"/>
      <c r="G342" s="10" t="str">
        <f aca="false">IF(B342="","",IF(D342="","Prix détail manquant",IF(AND(E342&lt;&gt;"",E342&gt;D342),"Prix gros plus cher que détail ?",IF(AND(C342&lt;&gt;"",C342&gt;=D342),"Vendu à perte ?",IF(AND(C342&lt;&gt;"",E342&lt;&gt;"",C342&gt;=E342),"Gros vendu à perte ?","")))))</f>
        <v/>
      </c>
    </row>
    <row r="343" customFormat="false" ht="15" hidden="false" customHeight="false" outlineLevel="0" collapsed="false">
      <c r="A343" s="11"/>
      <c r="B343" s="11"/>
      <c r="C343" s="9"/>
      <c r="D343" s="9"/>
      <c r="E343" s="9"/>
      <c r="F343" s="9"/>
      <c r="G343" s="10" t="str">
        <f aca="false">IF(B343="","",IF(D343="","Prix détail manquant",IF(AND(E343&lt;&gt;"",E343&gt;D343),"Prix gros plus cher que détail ?",IF(AND(C343&lt;&gt;"",C343&gt;=D343),"Vendu à perte ?",IF(AND(C343&lt;&gt;"",E343&lt;&gt;"",C343&gt;=E343),"Gros vendu à perte ?","")))))</f>
        <v/>
      </c>
    </row>
    <row r="344" customFormat="false" ht="15" hidden="false" customHeight="false" outlineLevel="0" collapsed="false">
      <c r="A344" s="11"/>
      <c r="B344" s="11"/>
      <c r="C344" s="9"/>
      <c r="D344" s="9"/>
      <c r="E344" s="9"/>
      <c r="F344" s="9"/>
      <c r="G344" s="10" t="str">
        <f aca="false">IF(B344="","",IF(D344="","Prix détail manquant",IF(AND(E344&lt;&gt;"",E344&gt;D344),"Prix gros plus cher que détail ?",IF(AND(C344&lt;&gt;"",C344&gt;=D344),"Vendu à perte ?",IF(AND(C344&lt;&gt;"",E344&lt;&gt;"",C344&gt;=E344),"Gros vendu à perte ?","")))))</f>
        <v/>
      </c>
    </row>
    <row r="345" customFormat="false" ht="15" hidden="false" customHeight="false" outlineLevel="0" collapsed="false">
      <c r="A345" s="11"/>
      <c r="B345" s="11"/>
      <c r="C345" s="9"/>
      <c r="D345" s="9"/>
      <c r="E345" s="9"/>
      <c r="F345" s="9"/>
      <c r="G345" s="10" t="str">
        <f aca="false">IF(B345="","",IF(D345="","Prix détail manquant",IF(AND(E345&lt;&gt;"",E345&gt;D345),"Prix gros plus cher que détail ?",IF(AND(C345&lt;&gt;"",C345&gt;=D345),"Vendu à perte ?",IF(AND(C345&lt;&gt;"",E345&lt;&gt;"",C345&gt;=E345),"Gros vendu à perte ?","")))))</f>
        <v/>
      </c>
    </row>
    <row r="346" customFormat="false" ht="15" hidden="false" customHeight="false" outlineLevel="0" collapsed="false">
      <c r="A346" s="11"/>
      <c r="B346" s="11"/>
      <c r="C346" s="9"/>
      <c r="D346" s="9"/>
      <c r="E346" s="9"/>
      <c r="F346" s="9"/>
      <c r="G346" s="10" t="str">
        <f aca="false">IF(B346="","",IF(D346="","Prix détail manquant",IF(AND(E346&lt;&gt;"",E346&gt;D346),"Prix gros plus cher que détail ?",IF(AND(C346&lt;&gt;"",C346&gt;=D346),"Vendu à perte ?",IF(AND(C346&lt;&gt;"",E346&lt;&gt;"",C346&gt;=E346),"Gros vendu à perte ?","")))))</f>
        <v/>
      </c>
    </row>
    <row r="347" customFormat="false" ht="15" hidden="false" customHeight="false" outlineLevel="0" collapsed="false">
      <c r="A347" s="11"/>
      <c r="B347" s="11"/>
      <c r="C347" s="9"/>
      <c r="D347" s="9"/>
      <c r="E347" s="9"/>
      <c r="F347" s="9"/>
      <c r="G347" s="10" t="str">
        <f aca="false">IF(B347="","",IF(D347="","Prix détail manquant",IF(AND(E347&lt;&gt;"",E347&gt;D347),"Prix gros plus cher que détail ?",IF(AND(C347&lt;&gt;"",C347&gt;=D347),"Vendu à perte ?",IF(AND(C347&lt;&gt;"",E347&lt;&gt;"",C347&gt;=E347),"Gros vendu à perte ?","")))))</f>
        <v/>
      </c>
    </row>
    <row r="348" customFormat="false" ht="15" hidden="false" customHeight="false" outlineLevel="0" collapsed="false">
      <c r="A348" s="11"/>
      <c r="B348" s="11"/>
      <c r="C348" s="9"/>
      <c r="D348" s="9"/>
      <c r="E348" s="9"/>
      <c r="F348" s="9"/>
      <c r="G348" s="10" t="str">
        <f aca="false">IF(B348="","",IF(D348="","Prix détail manquant",IF(AND(E348&lt;&gt;"",E348&gt;D348),"Prix gros plus cher que détail ?",IF(AND(C348&lt;&gt;"",C348&gt;=D348),"Vendu à perte ?",IF(AND(C348&lt;&gt;"",E348&lt;&gt;"",C348&gt;=E348),"Gros vendu à perte ?","")))))</f>
        <v/>
      </c>
    </row>
    <row r="349" customFormat="false" ht="15" hidden="false" customHeight="false" outlineLevel="0" collapsed="false">
      <c r="A349" s="11"/>
      <c r="B349" s="11"/>
      <c r="C349" s="9"/>
      <c r="D349" s="9"/>
      <c r="E349" s="9"/>
      <c r="F349" s="9"/>
      <c r="G349" s="10" t="str">
        <f aca="false">IF(B349="","",IF(D349="","Prix détail manquant",IF(AND(E349&lt;&gt;"",E349&gt;D349),"Prix gros plus cher que détail ?",IF(AND(C349&lt;&gt;"",C349&gt;=D349),"Vendu à perte ?",IF(AND(C349&lt;&gt;"",E349&lt;&gt;"",C349&gt;=E349),"Gros vendu à perte ?","")))))</f>
        <v/>
      </c>
    </row>
    <row r="350" customFormat="false" ht="15" hidden="false" customHeight="false" outlineLevel="0" collapsed="false">
      <c r="A350" s="11"/>
      <c r="B350" s="11"/>
      <c r="C350" s="9"/>
      <c r="D350" s="9"/>
      <c r="E350" s="9"/>
      <c r="F350" s="9"/>
      <c r="G350" s="10" t="str">
        <f aca="false">IF(B350="","",IF(D350="","Prix détail manquant",IF(AND(E350&lt;&gt;"",E350&gt;D350),"Prix gros plus cher que détail ?",IF(AND(C350&lt;&gt;"",C350&gt;=D350),"Vendu à perte ?",IF(AND(C350&lt;&gt;"",E350&lt;&gt;"",C350&gt;=E350),"Gros vendu à perte ?","")))))</f>
        <v/>
      </c>
    </row>
    <row r="351" customFormat="false" ht="15" hidden="false" customHeight="false" outlineLevel="0" collapsed="false">
      <c r="A351" s="11"/>
      <c r="B351" s="11"/>
      <c r="C351" s="9"/>
      <c r="D351" s="9"/>
      <c r="E351" s="9"/>
      <c r="F351" s="9"/>
      <c r="G351" s="10" t="str">
        <f aca="false">IF(B351="","",IF(D351="","Prix détail manquant",IF(AND(E351&lt;&gt;"",E351&gt;D351),"Prix gros plus cher que détail ?",IF(AND(C351&lt;&gt;"",C351&gt;=D351),"Vendu à perte ?",IF(AND(C351&lt;&gt;"",E351&lt;&gt;"",C351&gt;=E351),"Gros vendu à perte ?","")))))</f>
        <v/>
      </c>
    </row>
    <row r="352" customFormat="false" ht="15" hidden="false" customHeight="false" outlineLevel="0" collapsed="false">
      <c r="A352" s="11"/>
      <c r="B352" s="11"/>
      <c r="C352" s="9"/>
      <c r="D352" s="9"/>
      <c r="E352" s="9"/>
      <c r="F352" s="9"/>
      <c r="G352" s="10" t="str">
        <f aca="false">IF(B352="","",IF(D352="","Prix détail manquant",IF(AND(E352&lt;&gt;"",E352&gt;D352),"Prix gros plus cher que détail ?",IF(AND(C352&lt;&gt;"",C352&gt;=D352),"Vendu à perte ?",IF(AND(C352&lt;&gt;"",E352&lt;&gt;"",C352&gt;=E352),"Gros vendu à perte ?","")))))</f>
        <v/>
      </c>
    </row>
    <row r="353" customFormat="false" ht="15" hidden="false" customHeight="false" outlineLevel="0" collapsed="false">
      <c r="A353" s="11"/>
      <c r="B353" s="11"/>
      <c r="C353" s="9"/>
      <c r="D353" s="9"/>
      <c r="E353" s="9"/>
      <c r="F353" s="9"/>
      <c r="G353" s="10" t="str">
        <f aca="false">IF(B353="","",IF(D353="","Prix détail manquant",IF(AND(E353&lt;&gt;"",E353&gt;D353),"Prix gros plus cher que détail ?",IF(AND(C353&lt;&gt;"",C353&gt;=D353),"Vendu à perte ?",IF(AND(C353&lt;&gt;"",E353&lt;&gt;"",C353&gt;=E353),"Gros vendu à perte ?","")))))</f>
        <v/>
      </c>
    </row>
    <row r="354" customFormat="false" ht="15" hidden="false" customHeight="false" outlineLevel="0" collapsed="false">
      <c r="A354" s="11"/>
      <c r="B354" s="11"/>
      <c r="C354" s="9"/>
      <c r="D354" s="9"/>
      <c r="E354" s="9"/>
      <c r="F354" s="9"/>
      <c r="G354" s="10" t="str">
        <f aca="false">IF(B354="","",IF(D354="","Prix détail manquant",IF(AND(E354&lt;&gt;"",E354&gt;D354),"Prix gros plus cher que détail ?",IF(AND(C354&lt;&gt;"",C354&gt;=D354),"Vendu à perte ?",IF(AND(C354&lt;&gt;"",E354&lt;&gt;"",C354&gt;=E354),"Gros vendu à perte ?","")))))</f>
        <v/>
      </c>
    </row>
    <row r="355" customFormat="false" ht="15" hidden="false" customHeight="false" outlineLevel="0" collapsed="false">
      <c r="A355" s="11"/>
      <c r="B355" s="11"/>
      <c r="C355" s="9"/>
      <c r="D355" s="9"/>
      <c r="E355" s="9"/>
      <c r="F355" s="9"/>
      <c r="G355" s="10" t="str">
        <f aca="false">IF(B355="","",IF(D355="","Prix détail manquant",IF(AND(E355&lt;&gt;"",E355&gt;D355),"Prix gros plus cher que détail ?",IF(AND(C355&lt;&gt;"",C355&gt;=D355),"Vendu à perte ?",IF(AND(C355&lt;&gt;"",E355&lt;&gt;"",C355&gt;=E355),"Gros vendu à perte ?","")))))</f>
        <v/>
      </c>
    </row>
    <row r="356" customFormat="false" ht="15" hidden="false" customHeight="false" outlineLevel="0" collapsed="false">
      <c r="A356" s="11"/>
      <c r="B356" s="11"/>
      <c r="C356" s="9"/>
      <c r="D356" s="9"/>
      <c r="E356" s="9"/>
      <c r="F356" s="9"/>
      <c r="G356" s="10" t="str">
        <f aca="false">IF(B356="","",IF(D356="","Prix détail manquant",IF(AND(E356&lt;&gt;"",E356&gt;D356),"Prix gros plus cher que détail ?",IF(AND(C356&lt;&gt;"",C356&gt;=D356),"Vendu à perte ?",IF(AND(C356&lt;&gt;"",E356&lt;&gt;"",C356&gt;=E356),"Gros vendu à perte ?","")))))</f>
        <v/>
      </c>
    </row>
    <row r="357" customFormat="false" ht="15" hidden="false" customHeight="false" outlineLevel="0" collapsed="false">
      <c r="A357" s="11"/>
      <c r="B357" s="11"/>
      <c r="C357" s="9"/>
      <c r="D357" s="9"/>
      <c r="E357" s="9"/>
      <c r="F357" s="9"/>
      <c r="G357" s="10" t="str">
        <f aca="false">IF(B357="","",IF(D357="","Prix détail manquant",IF(AND(E357&lt;&gt;"",E357&gt;D357),"Prix gros plus cher que détail ?",IF(AND(C357&lt;&gt;"",C357&gt;=D357),"Vendu à perte ?",IF(AND(C357&lt;&gt;"",E357&lt;&gt;"",C357&gt;=E357),"Gros vendu à perte ?","")))))</f>
        <v/>
      </c>
    </row>
  </sheetData>
  <autoFilter ref="A1:G357"/>
  <conditionalFormatting sqref="D2:D357">
    <cfRule type="expression" priority="2" aboveAverage="0" equalAverage="0" bottom="0" percent="0" rank="0" text="" dxfId="6">
      <formula>AND($B2&lt;&gt;"",$D2="")</formula>
    </cfRule>
  </conditionalFormatting>
  <dataValidations count="2">
    <dataValidation allowBlank="true" error="Choisissez Mèches ou Produits" errorStyle="stop" errorTitle="Catégorie" operator="between" showDropDown="false" showErrorMessage="true" showInputMessage="false" sqref="A2:A357" type="list">
      <formula1>"Mèches,Produits"</formula1>
      <formula2>0</formula2>
    </dataValidation>
    <dataValidation allowBlank="true" error="Écrivez un nombre entier, sans lettres ni espaces (ex. 2500)" errorStyle="stop" errorTitle="Nombre" operator="greaterThanOrEqual" showDropDown="false" showErrorMessage="true" showInputMessage="false" sqref="C2:F357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2026-09-24T19:37:58Z</dcterms:created>
  <dc:creator>openpyxl</dc:creator>
  <dc:description/>
  <dc:language>en-US</dc:language>
  <cp:lastModifiedBy/>
  <dcterms:modified xsi:type="dcterms:W3CDTF">2026-09-24T19:37:58Z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