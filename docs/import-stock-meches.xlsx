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mport mèches" sheetId="2" state="visible" r:id="rId4"/>
  </sheets>
  <definedNames>
    <definedName function="false" hidden="true" localSheetId="1" name="_xlnm._FilterDatabase" vbProcedure="false">'Import mèches'!$A$1:$M$161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<sst xmlns="http://schemas.openxmlformats.org/spreadsheetml/2006/main" count="842" uniqueCount="254">
  <si>
    <t xml:space="preserve">Import du stock MÈCHES — fiche papier (5 pages)</t>
  </si>
  <si>
    <t xml:space="preserve">Prix : même prix en gros et en détail (confirmé par Maman).</t>
  </si>
  <si>
    <t xml:space="preserve">Couleurs : ORANGE = raturé, surchargé ou nom à confirmer → vérifier avec Maman et corriger. JAUNE = prix manquant. BLEU = renommé ou ajouté.</t>
  </si>
  <si>
    <t xml:space="preserve">Règles : chiffre seul = unités ; 1 dz = 12 ; « - » = 0 ; case vide = 0 (à confirmer).</t>
  </si>
  <si>
    <t xml:space="preserve">La colonne « Prix sur la fiche » contient le prix écrit sur la fiche (avec les corrections de Maman au stylo bleu).</t>
  </si>
  <si>
    <t xml:space="preserve">Pour corriger un stock ou une entrée : modifier les colonnes J (Stock en unités) et K (Entrées en unités). Le STOCK FINAL se recalcule.</t>
  </si>
  <si>
    <t xml:space="preserve">Résumé :</t>
  </si>
  <si>
    <t xml:space="preserve">Articles au total</t>
  </si>
  <si>
    <t xml:space="preserve">Articles ajoutés</t>
  </si>
  <si>
    <t xml:space="preserve">Articles renommés</t>
  </si>
  <si>
    <t xml:space="preserve">Stock total (unités)</t>
  </si>
  <si>
    <t xml:space="preserve">Prix manquants</t>
  </si>
  <si>
    <t xml:space="preserve">N°</t>
  </si>
  <si>
    <t xml:space="preserve">Action</t>
  </si>
  <si>
    <t xml:space="preserve">Nom actuel (app)</t>
  </si>
  <si>
    <t xml:space="preserve">Nom final</t>
  </si>
  <si>
    <t xml:space="preserve">Catégorie</t>
  </si>
  <si>
    <t xml:space="preserve">Prix actuel app (F)</t>
  </si>
  <si>
    <t xml:space="preserve">Prix gros = détail (F)</t>
  </si>
  <si>
    <t xml:space="preserve">Stock écrit</t>
  </si>
  <si>
    <t xml:space="preserve">Entrées écrites</t>
  </si>
  <si>
    <t xml:space="preserve">Stock (unités)</t>
  </si>
  <si>
    <t xml:space="preserve">Entrées (unités)</t>
  </si>
  <si>
    <t xml:space="preserve">STOCK FINAL</t>
  </si>
  <si>
    <t xml:space="preserve">À vérifier</t>
  </si>
  <si>
    <t xml:space="preserve">Garder</t>
  </si>
  <si>
    <t xml:space="preserve">4 flowers</t>
  </si>
  <si>
    <t xml:space="preserve">Mèches</t>
  </si>
  <si>
    <t xml:space="preserve">04</t>
  </si>
  <si>
    <t xml:space="preserve">Prix changé : 1400 → 1500</t>
  </si>
  <si>
    <t xml:space="preserve">Renommer</t>
  </si>
  <si>
    <t xml:space="preserve">4pcs</t>
  </si>
  <si>
    <t xml:space="preserve">AFRO-B</t>
  </si>
  <si>
    <t xml:space="preserve">00</t>
  </si>
  <si>
    <t xml:space="preserve">12</t>
  </si>
  <si>
    <t xml:space="preserve">« 4pcs » barré, remplacé par « AFRO-B »</t>
  </si>
  <si>
    <t xml:space="preserve">8 amies amaka</t>
  </si>
  <si>
    <t xml:space="preserve">Active</t>
  </si>
  <si>
    <t xml:space="preserve">(vide)</t>
  </si>
  <si>
    <t xml:space="preserve">Case stock vide sur la fiche (compté 0)</t>
  </si>
  <si>
    <t xml:space="preserve">Adorable</t>
  </si>
  <si>
    <t xml:space="preserve">Afro pondo grd</t>
  </si>
  <si>
    <t xml:space="preserve">15</t>
  </si>
  <si>
    <t xml:space="preserve">Prix changé : 1335 → 1700</t>
  </si>
  <si>
    <t xml:space="preserve">Amanda</t>
  </si>
  <si>
    <t xml:space="preserve">Prix changé : 1670 → 2000</t>
  </si>
  <si>
    <t xml:space="preserve">ANI Spring</t>
  </si>
  <si>
    <t xml:space="preserve">05</t>
  </si>
  <si>
    <t xml:space="preserve">Ari-C</t>
  </si>
  <si>
    <t xml:space="preserve">02</t>
  </si>
  <si>
    <t xml:space="preserve">Bamba plus grand</t>
  </si>
  <si>
    <t xml:space="preserve">-</t>
  </si>
  <si>
    <t xml:space="preserve">Bella</t>
  </si>
  <si>
    <t xml:space="preserve">Boho water culy</t>
  </si>
  <si>
    <t xml:space="preserve">Prix changé : 2000 → 2200</t>
  </si>
  <si>
    <t xml:space="preserve">Bomba plus</t>
  </si>
  <si>
    <t xml:space="preserve">Bon-street</t>
  </si>
  <si>
    <t xml:space="preserve">Bounce</t>
  </si>
  <si>
    <t xml:space="preserve">Bouncy kinky</t>
  </si>
  <si>
    <t xml:space="preserve">36</t>
  </si>
  <si>
    <t xml:space="preserve">Brillant</t>
  </si>
  <si>
    <t xml:space="preserve">Burtherfly twist grd</t>
  </si>
  <si>
    <t xml:space="preserve">Butterfly twist pt</t>
  </si>
  <si>
    <t xml:space="preserve">Celina locs</t>
  </si>
  <si>
    <t xml:space="preserve">Ceres</t>
  </si>
  <si>
    <t xml:space="preserve">52</t>
  </si>
  <si>
    <t xml:space="preserve">Chery</t>
  </si>
  <si>
    <t xml:space="preserve">Prix changé : 5500 → 6000</t>
  </si>
  <si>
    <t xml:space="preserve">Clara tissage</t>
  </si>
  <si>
    <t xml:space="preserve">01</t>
  </si>
  <si>
    <t xml:space="preserve">Closure</t>
  </si>
  <si>
    <t xml:space="preserve">Corde noir</t>
  </si>
  <si>
    <t xml:space="preserve">22dz5</t>
  </si>
  <si>
    <t xml:space="preserve">Corde noir1500 Baby</t>
  </si>
  <si>
    <t xml:space="preserve">Corde noir Baby (douzaine)</t>
  </si>
  <si>
    <t xml:space="preserve">5</t>
  </si>
  <si>
    <t xml:space="preserve">Vendu à la douzaine (2500 F) : stock 5 douzaines ; les 4 pièces restantes sont sur la ligne « Corde noir Baby (pièce) »
Prix changé : 170 → 2500</t>
  </si>
  <si>
    <t xml:space="preserve">Cozi original</t>
  </si>
  <si>
    <t xml:space="preserve">Cozy vert pt</t>
  </si>
  <si>
    <t xml:space="preserve">16</t>
  </si>
  <si>
    <t xml:space="preserve">Cro chili locs</t>
  </si>
  <si>
    <t xml:space="preserve">Cro elim</t>
  </si>
  <si>
    <t xml:space="preserve">06</t>
  </si>
  <si>
    <t xml:space="preserve">Cro Full pock</t>
  </si>
  <si>
    <t xml:space="preserve">Cro Braiden</t>
  </si>
  <si>
    <t xml:space="preserve">« Full pock » barré → « Braiden »</t>
  </si>
  <si>
    <t xml:space="preserve">Cro gini</t>
  </si>
  <si>
    <t xml:space="preserve">Cro Zara</t>
  </si>
  <si>
    <t xml:space="preserve">03</t>
  </si>
  <si>
    <t xml:space="preserve">« gint » barré → « Zara »</t>
  </si>
  <si>
    <t xml:space="preserve">Cro lulu</t>
  </si>
  <si>
    <t xml:space="preserve">Cro Summer locs</t>
  </si>
  <si>
    <t xml:space="preserve">« lulu » barré → « Summer locs »</t>
  </si>
  <si>
    <t xml:space="preserve">Cro sultant</t>
  </si>
  <si>
    <t xml:space="preserve">Cro unique</t>
  </si>
  <si>
    <t xml:space="preserve">Cro vill dread</t>
  </si>
  <si>
    <t xml:space="preserve">Cro-baby</t>
  </si>
  <si>
    <t xml:space="preserve">Banny</t>
  </si>
  <si>
    <t xml:space="preserve">Crochet Aviv churk</t>
  </si>
  <si>
    <t xml:space="preserve">Crochet culy twit braid</t>
  </si>
  <si>
    <t xml:space="preserve">Crochet Miya braid</t>
  </si>
  <si>
    <t xml:space="preserve">Crochet Liz twist</t>
  </si>
  <si>
    <t xml:space="preserve">Crochet max locs</t>
  </si>
  <si>
    <t xml:space="preserve">Crochet Celina locs</t>
  </si>
  <si>
    <t xml:space="preserve">Crochet pristine</t>
  </si>
  <si>
    <t xml:space="preserve">Crochet Froyal</t>
  </si>
  <si>
    <t xml:space="preserve">Crochet shasha</t>
  </si>
  <si>
    <t xml:space="preserve">11</t>
  </si>
  <si>
    <t xml:space="preserve">Croflout locs plus</t>
  </si>
  <si>
    <t xml:space="preserve">Cro-meg</t>
  </si>
  <si>
    <t xml:space="preserve">Cully boby</t>
  </si>
  <si>
    <t xml:space="preserve">4</t>
  </si>
  <si>
    <t xml:space="preserve">Curly braid</t>
  </si>
  <si>
    <t xml:space="preserve">Dada locs</t>
  </si>
  <si>
    <t xml:space="preserve">Daniela sublime</t>
  </si>
  <si>
    <t xml:space="preserve">Daniella</t>
  </si>
  <si>
    <t xml:space="preserve">22</t>
  </si>
  <si>
    <t xml:space="preserve">Daniellax2</t>
  </si>
  <si>
    <t xml:space="preserve">Deep weave</t>
  </si>
  <si>
    <t xml:space="preserve">Dejava</t>
  </si>
  <si>
    <t xml:space="preserve">Deluxe</t>
  </si>
  <si>
    <t xml:space="preserve">Diva</t>
  </si>
  <si>
    <t xml:space="preserve">Duoz postige long</t>
  </si>
  <si>
    <t xml:space="preserve">08</t>
  </si>
  <si>
    <t xml:space="preserve">Durable</t>
  </si>
  <si>
    <t xml:space="preserve">Eunix Mini twist Sénégal</t>
  </si>
  <si>
    <t xml:space="preserve">Everlove</t>
  </si>
  <si>
    <t xml:space="preserve">Gold Afro braid</t>
  </si>
  <si>
    <t xml:space="preserve">Faux mèche</t>
  </si>
  <si>
    <t xml:space="preserve">13</t>
  </si>
  <si>
    <t xml:space="preserve">Filipino</t>
  </si>
  <si>
    <t xml:space="preserve">Flower</t>
  </si>
  <si>
    <t xml:space="preserve">Forever</t>
  </si>
  <si>
    <t xml:space="preserve">Frenche culy</t>
  </si>
  <si>
    <t xml:space="preserve">Petit mèche sachet</t>
  </si>
  <si>
    <t xml:space="preserve">Frontal naturel</t>
  </si>
  <si>
    <t xml:space="preserve">Frontal synthétique</t>
  </si>
  <si>
    <t xml:space="preserve">Funky</t>
  </si>
  <si>
    <t xml:space="preserve">Générous</t>
  </si>
  <si>
    <t xml:space="preserve">Havana</t>
  </si>
  <si>
    <t xml:space="preserve">Prix changé : 3500 → 4000</t>
  </si>
  <si>
    <t xml:space="preserve">Invisible locs</t>
  </si>
  <si>
    <t xml:space="preserve">Janet</t>
  </si>
  <si>
    <t xml:space="preserve">19</t>
  </si>
  <si>
    <t xml:space="preserve">Prix changé : 1335 → 1500</t>
  </si>
  <si>
    <t xml:space="preserve">Jino</t>
  </si>
  <si>
    <t xml:space="preserve">18</t>
  </si>
  <si>
    <t xml:space="preserve">Leine</t>
  </si>
  <si>
    <t xml:space="preserve">21</t>
  </si>
  <si>
    <t xml:space="preserve">10</t>
  </si>
  <si>
    <t xml:space="preserve">Prix changé : 933 → 1000</t>
  </si>
  <si>
    <t xml:space="preserve">locs star</t>
  </si>
  <si>
    <t xml:space="preserve">Lx Hair</t>
  </si>
  <si>
    <t xml:space="preserve">Lydia</t>
  </si>
  <si>
    <t xml:space="preserve">Mama christabelle</t>
  </si>
  <si>
    <t xml:space="preserve">Mini beauterflive</t>
  </si>
  <si>
    <t xml:space="preserve">Modern Queen</t>
  </si>
  <si>
    <t xml:space="preserve">Multi</t>
  </si>
  <si>
    <t xml:space="preserve">89</t>
  </si>
  <si>
    <t xml:space="preserve">Prix changé : 935 → 1000</t>
  </si>
  <si>
    <t xml:space="preserve">Natural</t>
  </si>
  <si>
    <t xml:space="preserve">Prix changé : 1500 → 1800</t>
  </si>
  <si>
    <t xml:space="preserve">Natural twist grand</t>
  </si>
  <si>
    <t xml:space="preserve">Natural twist petit</t>
  </si>
  <si>
    <t xml:space="preserve">Next bulk</t>
  </si>
  <si>
    <t xml:space="preserve">Olori</t>
  </si>
  <si>
    <t xml:space="preserve">Ondulet grd</t>
  </si>
  <si>
    <t xml:space="preserve">Passion twist</t>
  </si>
  <si>
    <t xml:space="preserve">Passion twist riche</t>
  </si>
  <si>
    <t xml:space="preserve">Pop braid</t>
  </si>
  <si>
    <t xml:space="preserve">Princess locs</t>
  </si>
  <si>
    <t xml:space="preserve">Queen et Girl</t>
  </si>
  <si>
    <t xml:space="preserve">Remy</t>
  </si>
  <si>
    <t xml:space="preserve">Prix changé : 2200 → 2000</t>
  </si>
  <si>
    <t xml:space="preserve">Rose mary</t>
  </si>
  <si>
    <t xml:space="preserve">Prix changé : 1835 → 2000</t>
  </si>
  <si>
    <t xml:space="preserve">Sara</t>
  </si>
  <si>
    <t xml:space="preserve">Sénégalais OROBO</t>
  </si>
  <si>
    <t xml:space="preserve">Shary</t>
  </si>
  <si>
    <t xml:space="preserve">Spring</t>
  </si>
  <si>
    <t xml:space="preserve">Sublime kinky</t>
  </si>
  <si>
    <t xml:space="preserve">Super twist</t>
  </si>
  <si>
    <t xml:space="preserve">Super valentina</t>
  </si>
  <si>
    <t xml:space="preserve">TC Summber</t>
  </si>
  <si>
    <t xml:space="preserve">Versace</t>
  </si>
  <si>
    <t xml:space="preserve">Vivace</t>
  </si>
  <si>
    <t xml:space="preserve">Vogue cool</t>
  </si>
  <si>
    <t xml:space="preserve">Watermélon</t>
  </si>
  <si>
    <t xml:space="preserve">Wet wave</t>
  </si>
  <si>
    <t xml:space="preserve">Wéve master</t>
  </si>
  <si>
    <t xml:space="preserve">Prix changé : 3600 → 3500</t>
  </si>
  <si>
    <t xml:space="preserve">Wolosso</t>
  </si>
  <si>
    <t xml:space="preserve">X 3 locs</t>
  </si>
  <si>
    <t xml:space="preserve">X pressing pt</t>
  </si>
  <si>
    <t xml:space="preserve">X pression kinky</t>
  </si>
  <si>
    <t xml:space="preserve">Xpression curly</t>
  </si>
  <si>
    <t xml:space="preserve">34</t>
  </si>
  <si>
    <t xml:space="preserve">Stock « 3 + 1 »</t>
  </si>
  <si>
    <t xml:space="preserve">X-pression détail</t>
  </si>
  <si>
    <t xml:space="preserve">Xpression grd</t>
  </si>
  <si>
    <t xml:space="preserve">Xprestige</t>
  </si>
  <si>
    <t xml:space="preserve">50</t>
  </si>
  <si>
    <t xml:space="preserve">Ajouter</t>
  </si>
  <si>
    <t xml:space="preserve">Corde noir Baby (pièce)</t>
  </si>
  <si>
    <t xml:space="preserve">Les 4 pièces du « 5dz4 » : prix d'une pièce à demander</t>
  </si>
  <si>
    <t xml:space="preserve">Afro kinky</t>
  </si>
  <si>
    <t xml:space="preserve">Fashion Royal</t>
  </si>
  <si>
    <t xml:space="preserve">Mèche afro twist</t>
  </si>
  <si>
    <t xml:space="preserve">Queen et Girl humaine</t>
  </si>
  <si>
    <t xml:space="preserve">Boss braids</t>
  </si>
  <si>
    <t xml:space="preserve">Pas de prix</t>
  </si>
  <si>
    <t xml:space="preserve">Ballon chignons</t>
  </si>
  <si>
    <t xml:space="preserve">6PCS Devia</t>
  </si>
  <si>
    <t xml:space="preserve">6PCS Pièces</t>
  </si>
  <si>
    <t xml:space="preserve">Cro Cathy</t>
  </si>
  <si>
    <t xml:space="preserve">1</t>
  </si>
  <si>
    <t xml:space="preserve">Faux locs</t>
  </si>
  <si>
    <t xml:space="preserve">2</t>
  </si>
  <si>
    <t xml:space="preserve">Spring twist</t>
  </si>
  <si>
    <t xml:space="preserve">Italien culy</t>
  </si>
  <si>
    <t xml:space="preserve">Prima locs</t>
  </si>
  <si>
    <t xml:space="preserve">Petit mèche sachet n°2</t>
  </si>
  <si>
    <t xml:space="preserve">First Lady</t>
  </si>
  <si>
    <t xml:space="preserve">Monica body wave</t>
  </si>
  <si>
    <t xml:space="preserve">Monica Jerry curl</t>
  </si>
  <si>
    <t xml:space="preserve">Clara New body</t>
  </si>
  <si>
    <t xml:space="preserve">Megtron</t>
  </si>
  <si>
    <t xml:space="preserve">Lidya Jerry</t>
  </si>
  <si>
    <t xml:space="preserve">Lidya stw</t>
  </si>
  <si>
    <t xml:space="preserve">Joy Reap barbara</t>
  </si>
  <si>
    <t xml:space="preserve">Zy stw</t>
  </si>
  <si>
    <t xml:space="preserve">Rosemary Jerry curly</t>
  </si>
  <si>
    <t xml:space="preserve">IDolla super soft</t>
  </si>
  <si>
    <t xml:space="preserve">Clara new stw</t>
  </si>
  <si>
    <t xml:space="preserve">Cherry #A stw</t>
  </si>
  <si>
    <t xml:space="preserve">Nom : « stw » comme les autres ?</t>
  </si>
  <si>
    <t xml:space="preserve">Body wave</t>
  </si>
  <si>
    <t xml:space="preserve">Doring</t>
  </si>
  <si>
    <t xml:space="preserve">Clara 1 pack</t>
  </si>
  <si>
    <t xml:space="preserve">Makaya</t>
  </si>
  <si>
    <t xml:space="preserve">Super Girl super Jerry</t>
  </si>
  <si>
    <t xml:space="preserve">Cloris</t>
  </si>
  <si>
    <t xml:space="preserve">Doring petit</t>
  </si>
  <si>
    <t xml:space="preserve">Faux locs wylli hair</t>
  </si>
  <si>
    <t xml:space="preserve">Profal naturel</t>
  </si>
  <si>
    <t xml:space="preserve">Lydia Romance</t>
  </si>
  <si>
    <t xml:space="preserve">Clara long</t>
  </si>
  <si>
    <t xml:space="preserve">07</t>
  </si>
  <si>
    <t xml:space="preserve">Closure 1 raie</t>
  </si>
  <si>
    <t xml:space="preserve">Closure 2 raies</t>
  </si>
  <si>
    <t xml:space="preserve">Closure 1 raie original</t>
  </si>
  <si>
    <t xml:space="preserve">Frontale pose</t>
  </si>
  <si>
    <t xml:space="preserve">Frontale long</t>
  </si>
  <si>
    <t xml:space="preserve">Closure long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</si>
</sst>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7306B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7306B"/>
        <bgColor rgb="FF333333"/>
      </patternFill>
    </fill>
    <fill>
      <patternFill patternType="solid">
        <fgColor rgb="FFE4E7F6"/>
        <bgColor rgb="FFFDEBD3"/>
      </patternFill>
    </fill>
    <fill>
      <patternFill patternType="solid">
        <fgColor rgb="FFFFF2CC"/>
        <bgColor rgb="FFFDEBD3"/>
      </patternFill>
    </fill>
    <fill>
      <patternFill patternType="solid">
        <fgColor rgb="FFFDEBD3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730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7F6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/>
    </row>
    <row r="4" customFormat="false" ht="26.85" hidden="false" customHeight="false" outlineLevel="0" collapsed="false">
      <c r="A4" s="2" t="s">
        <v>2</v>
      </c>
      <c r="B4" s="2"/>
    </row>
    <row r="5" customFormat="false" ht="15" hidden="false" customHeight="false" outlineLevel="0" collapsed="false">
      <c r="A5" s="2" t="s">
        <v>3</v>
      </c>
      <c r="B5" s="2"/>
    </row>
    <row r="6" customFormat="false" ht="15" hidden="false" customHeight="false" outlineLevel="0" collapsed="false">
      <c r="A6" s="2" t="s">
        <v>4</v>
      </c>
      <c r="B6" s="2"/>
    </row>
    <row r="7" customFormat="false" ht="26.85" hidden="false" customHeight="false" outlineLevel="0" collapsed="false">
      <c r="A7" s="2" t="s">
        <v>5</v>
      </c>
      <c r="B7" s="2"/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2" t="s">
        <v>6</v>
      </c>
      <c r="B9" s="2"/>
    </row>
    <row r="10" customFormat="false" ht="15" hidden="false" customHeight="false" outlineLevel="0" collapsed="false">
      <c r="A10" s="2" t="s">
        <v>7</v>
      </c>
      <c r="B10" s="2" t="n">
        <f aca="false">COUNTA('Import mèches'!D2:D161)</f>
        <v>160</v>
      </c>
    </row>
    <row r="11" customFormat="false" ht="15" hidden="false" customHeight="false" outlineLevel="0" collapsed="false">
      <c r="A11" s="2" t="s">
        <v>8</v>
      </c>
      <c r="B11" s="2" t="n">
        <f aca="false">COUNTIF('Import mèches'!B2:B161,"Ajouter")</f>
        <v>45</v>
      </c>
    </row>
    <row r="12" customFormat="false" ht="15" hidden="false" customHeight="false" outlineLevel="0" collapsed="false">
      <c r="A12" s="2" t="s">
        <v>9</v>
      </c>
      <c r="B12" s="2" t="n">
        <f aca="false">COUNTIF('Import mèches'!B2:B161,"Renommer")</f>
        <v>11</v>
      </c>
    </row>
    <row r="13" customFormat="false" ht="15" hidden="false" customHeight="false" outlineLevel="0" collapsed="false">
      <c r="A13" s="2" t="s">
        <v>10</v>
      </c>
      <c r="B13" s="2" t="n">
        <f aca="false">SUM('Import mèches'!L2:L161)</f>
        <v>1072</v>
      </c>
    </row>
    <row r="14" customFormat="false" ht="15" hidden="false" customHeight="false" outlineLevel="0" collapsed="false">
      <c r="A14" s="2" t="s">
        <v>11</v>
      </c>
      <c r="B14" s="2" t="n">
        <f aca="false">COUNTBLANK('Import mèches'!G2:G161)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46"/>
  </cols>
  <sheetData>
    <row r="1" customFormat="false" ht="39.7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customFormat="false" ht="15" hidden="false" customHeight="false" outlineLevel="0" collapsed="false">
      <c r="A2" s="4" t="n">
        <v>1</v>
      </c>
      <c r="B2" s="4" t="s">
        <v>25</v>
      </c>
      <c r="C2" s="4" t="s">
        <v>26</v>
      </c>
      <c r="D2" s="4" t="s">
        <v>26</v>
      </c>
      <c r="E2" s="4" t="s">
        <v>27</v>
      </c>
      <c r="F2" s="4" t="n">
        <v>1400</v>
      </c>
      <c r="G2" s="4" t="n">
        <v>1500</v>
      </c>
      <c r="H2" s="4" t="s">
        <v>28</v>
      </c>
      <c r="I2" s="4"/>
      <c r="J2" s="4" t="n">
        <v>4</v>
      </c>
      <c r="K2" s="4" t="n">
        <v>0</v>
      </c>
      <c r="L2" s="5" t="n">
        <f aca="false">J2+K2</f>
        <v>4</v>
      </c>
      <c r="M2" s="4" t="s">
        <v>29</v>
      </c>
    </row>
    <row r="3" customFormat="false" ht="26.85" hidden="false" customHeight="false" outlineLevel="0" collapsed="false">
      <c r="A3" s="4" t="n">
        <v>2</v>
      </c>
      <c r="B3" s="6" t="s">
        <v>30</v>
      </c>
      <c r="C3" s="4" t="s">
        <v>31</v>
      </c>
      <c r="D3" s="6" t="s">
        <v>32</v>
      </c>
      <c r="E3" s="4" t="s">
        <v>27</v>
      </c>
      <c r="F3" s="4" t="n">
        <v>3000</v>
      </c>
      <c r="G3" s="4" t="n">
        <v>3000</v>
      </c>
      <c r="H3" s="4" t="s">
        <v>33</v>
      </c>
      <c r="I3" s="4" t="s">
        <v>34</v>
      </c>
      <c r="J3" s="4" t="n">
        <v>0</v>
      </c>
      <c r="K3" s="4" t="n">
        <v>12</v>
      </c>
      <c r="L3" s="5" t="n">
        <f aca="false">J3+K3</f>
        <v>12</v>
      </c>
      <c r="M3" s="4" t="s">
        <v>35</v>
      </c>
    </row>
    <row r="4" customFormat="false" ht="15" hidden="false" customHeight="false" outlineLevel="0" collapsed="false">
      <c r="A4" s="4" t="n">
        <v>3</v>
      </c>
      <c r="B4" s="4" t="s">
        <v>25</v>
      </c>
      <c r="C4" s="4" t="s">
        <v>36</v>
      </c>
      <c r="D4" s="4" t="s">
        <v>36</v>
      </c>
      <c r="E4" s="4" t="s">
        <v>27</v>
      </c>
      <c r="F4" s="4" t="n">
        <v>1500</v>
      </c>
      <c r="G4" s="4" t="n">
        <v>1500</v>
      </c>
      <c r="H4" s="4" t="s">
        <v>33</v>
      </c>
      <c r="I4" s="4"/>
      <c r="J4" s="4" t="n">
        <v>0</v>
      </c>
      <c r="K4" s="4" t="n">
        <v>0</v>
      </c>
      <c r="L4" s="5" t="n">
        <f aca="false">J4+K4</f>
        <v>0</v>
      </c>
      <c r="M4" s="4"/>
    </row>
    <row r="5" customFormat="false" ht="15" hidden="false" customHeight="false" outlineLevel="0" collapsed="false">
      <c r="A5" s="4" t="n">
        <v>4</v>
      </c>
      <c r="B5" s="4" t="s">
        <v>25</v>
      </c>
      <c r="C5" s="4" t="s">
        <v>37</v>
      </c>
      <c r="D5" s="4" t="s">
        <v>37</v>
      </c>
      <c r="E5" s="4" t="s">
        <v>27</v>
      </c>
      <c r="F5" s="4" t="n">
        <v>2200</v>
      </c>
      <c r="G5" s="4" t="n">
        <v>2200</v>
      </c>
      <c r="H5" s="4" t="s">
        <v>38</v>
      </c>
      <c r="I5" s="4"/>
      <c r="J5" s="4" t="n">
        <v>0</v>
      </c>
      <c r="K5" s="4" t="n">
        <v>0</v>
      </c>
      <c r="L5" s="5" t="n">
        <f aca="false">J5+K5</f>
        <v>0</v>
      </c>
      <c r="M5" s="4" t="s">
        <v>39</v>
      </c>
    </row>
    <row r="6" customFormat="false" ht="15" hidden="false" customHeight="false" outlineLevel="0" collapsed="false">
      <c r="A6" s="4" t="n">
        <v>5</v>
      </c>
      <c r="B6" s="4" t="s">
        <v>25</v>
      </c>
      <c r="C6" s="4" t="s">
        <v>40</v>
      </c>
      <c r="D6" s="4" t="s">
        <v>40</v>
      </c>
      <c r="E6" s="4" t="s">
        <v>27</v>
      </c>
      <c r="F6" s="4" t="n">
        <v>5000</v>
      </c>
      <c r="G6" s="4" t="n">
        <v>5000</v>
      </c>
      <c r="H6" s="4" t="s">
        <v>38</v>
      </c>
      <c r="I6" s="4"/>
      <c r="J6" s="4" t="n">
        <v>0</v>
      </c>
      <c r="K6" s="4" t="n">
        <v>0</v>
      </c>
      <c r="L6" s="5" t="n">
        <f aca="false">J6+K6</f>
        <v>0</v>
      </c>
      <c r="M6" s="4" t="s">
        <v>39</v>
      </c>
    </row>
    <row r="7" customFormat="false" ht="15" hidden="false" customHeight="false" outlineLevel="0" collapsed="false">
      <c r="A7" s="4" t="n">
        <v>6</v>
      </c>
      <c r="B7" s="4" t="s">
        <v>25</v>
      </c>
      <c r="C7" s="4" t="s">
        <v>41</v>
      </c>
      <c r="D7" s="4" t="s">
        <v>41</v>
      </c>
      <c r="E7" s="4" t="s">
        <v>27</v>
      </c>
      <c r="F7" s="4" t="n">
        <v>1335</v>
      </c>
      <c r="G7" s="4" t="n">
        <v>1700</v>
      </c>
      <c r="H7" s="4" t="s">
        <v>42</v>
      </c>
      <c r="I7" s="4"/>
      <c r="J7" s="4" t="n">
        <v>15</v>
      </c>
      <c r="K7" s="4" t="n">
        <v>0</v>
      </c>
      <c r="L7" s="5" t="n">
        <f aca="false">J7+K7</f>
        <v>15</v>
      </c>
      <c r="M7" s="4" t="s">
        <v>43</v>
      </c>
    </row>
    <row r="8" customFormat="false" ht="15" hidden="false" customHeight="false" outlineLevel="0" collapsed="false">
      <c r="A8" s="4" t="n">
        <v>7</v>
      </c>
      <c r="B8" s="4" t="s">
        <v>25</v>
      </c>
      <c r="C8" s="4" t="s">
        <v>44</v>
      </c>
      <c r="D8" s="4" t="s">
        <v>44</v>
      </c>
      <c r="E8" s="4" t="s">
        <v>27</v>
      </c>
      <c r="F8" s="4" t="n">
        <v>1670</v>
      </c>
      <c r="G8" s="4" t="n">
        <v>2000</v>
      </c>
      <c r="H8" s="4" t="s">
        <v>28</v>
      </c>
      <c r="I8" s="4"/>
      <c r="J8" s="4" t="n">
        <v>4</v>
      </c>
      <c r="K8" s="4" t="n">
        <v>0</v>
      </c>
      <c r="L8" s="5" t="n">
        <f aca="false">J8+K8</f>
        <v>4</v>
      </c>
      <c r="M8" s="4" t="s">
        <v>45</v>
      </c>
    </row>
    <row r="9" customFormat="false" ht="15" hidden="false" customHeight="false" outlineLevel="0" collapsed="false">
      <c r="A9" s="4" t="n">
        <v>8</v>
      </c>
      <c r="B9" s="4" t="s">
        <v>25</v>
      </c>
      <c r="C9" s="4" t="s">
        <v>46</v>
      </c>
      <c r="D9" s="4" t="s">
        <v>46</v>
      </c>
      <c r="E9" s="4" t="s">
        <v>27</v>
      </c>
      <c r="F9" s="4" t="n">
        <v>3500</v>
      </c>
      <c r="G9" s="4" t="n">
        <v>3500</v>
      </c>
      <c r="H9" s="4" t="s">
        <v>47</v>
      </c>
      <c r="I9" s="4"/>
      <c r="J9" s="4" t="n">
        <v>5</v>
      </c>
      <c r="K9" s="4" t="n">
        <v>0</v>
      </c>
      <c r="L9" s="5" t="n">
        <f aca="false">J9+K9</f>
        <v>5</v>
      </c>
      <c r="M9" s="4"/>
    </row>
    <row r="10" customFormat="false" ht="15" hidden="false" customHeight="false" outlineLevel="0" collapsed="false">
      <c r="A10" s="4" t="n">
        <v>9</v>
      </c>
      <c r="B10" s="4" t="s">
        <v>25</v>
      </c>
      <c r="C10" s="4" t="s">
        <v>48</v>
      </c>
      <c r="D10" s="4" t="s">
        <v>48</v>
      </c>
      <c r="E10" s="4" t="s">
        <v>27</v>
      </c>
      <c r="F10" s="4" t="n">
        <v>3000</v>
      </c>
      <c r="G10" s="4" t="n">
        <v>3000</v>
      </c>
      <c r="H10" s="4" t="s">
        <v>49</v>
      </c>
      <c r="I10" s="4"/>
      <c r="J10" s="4" t="n">
        <v>2</v>
      </c>
      <c r="K10" s="4" t="n">
        <v>0</v>
      </c>
      <c r="L10" s="5" t="n">
        <f aca="false">J10+K10</f>
        <v>2</v>
      </c>
      <c r="M10" s="4"/>
    </row>
    <row r="11" customFormat="false" ht="15" hidden="false" customHeight="false" outlineLevel="0" collapsed="false">
      <c r="A11" s="4" t="n">
        <v>10</v>
      </c>
      <c r="B11" s="4" t="s">
        <v>25</v>
      </c>
      <c r="C11" s="4" t="s">
        <v>50</v>
      </c>
      <c r="D11" s="4" t="s">
        <v>50</v>
      </c>
      <c r="E11" s="4" t="s">
        <v>27</v>
      </c>
      <c r="F11" s="4" t="n">
        <v>4500</v>
      </c>
      <c r="G11" s="4" t="n">
        <v>4500</v>
      </c>
      <c r="H11" s="4" t="s">
        <v>51</v>
      </c>
      <c r="I11" s="4"/>
      <c r="J11" s="4" t="n">
        <v>0</v>
      </c>
      <c r="K11" s="4" t="n">
        <v>0</v>
      </c>
      <c r="L11" s="5" t="n">
        <f aca="false">J11+K11</f>
        <v>0</v>
      </c>
      <c r="M11" s="4"/>
    </row>
    <row r="12" customFormat="false" ht="15" hidden="false" customHeight="false" outlineLevel="0" collapsed="false">
      <c r="A12" s="4" t="n">
        <v>11</v>
      </c>
      <c r="B12" s="4" t="s">
        <v>25</v>
      </c>
      <c r="C12" s="4" t="s">
        <v>52</v>
      </c>
      <c r="D12" s="4" t="s">
        <v>52</v>
      </c>
      <c r="E12" s="4" t="s">
        <v>27</v>
      </c>
      <c r="F12" s="4" t="n">
        <v>2500</v>
      </c>
      <c r="G12" s="4" t="n">
        <v>2500</v>
      </c>
      <c r="H12" s="4" t="s">
        <v>51</v>
      </c>
      <c r="I12" s="4"/>
      <c r="J12" s="4" t="n">
        <v>0</v>
      </c>
      <c r="K12" s="4" t="n">
        <v>0</v>
      </c>
      <c r="L12" s="5" t="n">
        <f aca="false">J12+K12</f>
        <v>0</v>
      </c>
      <c r="M12" s="4"/>
    </row>
    <row r="13" customFormat="false" ht="15" hidden="false" customHeight="false" outlineLevel="0" collapsed="false">
      <c r="A13" s="4" t="n">
        <v>12</v>
      </c>
      <c r="B13" s="4" t="s">
        <v>25</v>
      </c>
      <c r="C13" s="4" t="s">
        <v>53</v>
      </c>
      <c r="D13" s="4" t="s">
        <v>53</v>
      </c>
      <c r="E13" s="4" t="s">
        <v>27</v>
      </c>
      <c r="F13" s="4" t="n">
        <v>2000</v>
      </c>
      <c r="G13" s="4" t="n">
        <v>2200</v>
      </c>
      <c r="H13" s="4" t="s">
        <v>47</v>
      </c>
      <c r="I13" s="4"/>
      <c r="J13" s="4" t="n">
        <v>5</v>
      </c>
      <c r="K13" s="4" t="n">
        <v>0</v>
      </c>
      <c r="L13" s="5" t="n">
        <f aca="false">J13+K13</f>
        <v>5</v>
      </c>
      <c r="M13" s="4" t="s">
        <v>54</v>
      </c>
    </row>
    <row r="14" customFormat="false" ht="15" hidden="false" customHeight="false" outlineLevel="0" collapsed="false">
      <c r="A14" s="4" t="n">
        <v>13</v>
      </c>
      <c r="B14" s="4" t="s">
        <v>25</v>
      </c>
      <c r="C14" s="4" t="s">
        <v>55</v>
      </c>
      <c r="D14" s="4" t="s">
        <v>55</v>
      </c>
      <c r="E14" s="4" t="s">
        <v>27</v>
      </c>
      <c r="F14" s="4" t="n">
        <v>2800</v>
      </c>
      <c r="G14" s="4" t="n">
        <v>2800</v>
      </c>
      <c r="H14" s="4" t="s">
        <v>49</v>
      </c>
      <c r="I14" s="4"/>
      <c r="J14" s="4" t="n">
        <v>2</v>
      </c>
      <c r="K14" s="4" t="n">
        <v>0</v>
      </c>
      <c r="L14" s="5" t="n">
        <f aca="false">J14+K14</f>
        <v>2</v>
      </c>
      <c r="M14" s="4"/>
    </row>
    <row r="15" customFormat="false" ht="15" hidden="false" customHeight="false" outlineLevel="0" collapsed="false">
      <c r="A15" s="4" t="n">
        <v>14</v>
      </c>
      <c r="B15" s="4" t="s">
        <v>25</v>
      </c>
      <c r="C15" s="4" t="s">
        <v>56</v>
      </c>
      <c r="D15" s="4" t="s">
        <v>56</v>
      </c>
      <c r="E15" s="4" t="s">
        <v>27</v>
      </c>
      <c r="F15" s="4" t="n">
        <v>2000</v>
      </c>
      <c r="G15" s="4" t="n">
        <v>2000</v>
      </c>
      <c r="H15" s="4" t="s">
        <v>49</v>
      </c>
      <c r="I15" s="4"/>
      <c r="J15" s="4" t="n">
        <v>2</v>
      </c>
      <c r="K15" s="4" t="n">
        <v>0</v>
      </c>
      <c r="L15" s="5" t="n">
        <f aca="false">J15+K15</f>
        <v>2</v>
      </c>
      <c r="M15" s="4"/>
    </row>
    <row r="16" customFormat="false" ht="15" hidden="false" customHeight="false" outlineLevel="0" collapsed="false">
      <c r="A16" s="4" t="n">
        <v>15</v>
      </c>
      <c r="B16" s="4" t="s">
        <v>25</v>
      </c>
      <c r="C16" s="4" t="s">
        <v>57</v>
      </c>
      <c r="D16" s="4" t="s">
        <v>57</v>
      </c>
      <c r="E16" s="4" t="s">
        <v>27</v>
      </c>
      <c r="F16" s="4" t="n">
        <v>1600</v>
      </c>
      <c r="G16" s="4" t="n">
        <v>1600</v>
      </c>
      <c r="H16" s="4" t="s">
        <v>51</v>
      </c>
      <c r="I16" s="4"/>
      <c r="J16" s="4" t="n">
        <v>0</v>
      </c>
      <c r="K16" s="4" t="n">
        <v>0</v>
      </c>
      <c r="L16" s="5" t="n">
        <f aca="false">J16+K16</f>
        <v>0</v>
      </c>
      <c r="M16" s="4"/>
    </row>
    <row r="17" customFormat="false" ht="15" hidden="false" customHeight="false" outlineLevel="0" collapsed="false">
      <c r="A17" s="4" t="n">
        <v>16</v>
      </c>
      <c r="B17" s="4" t="s">
        <v>25</v>
      </c>
      <c r="C17" s="4" t="s">
        <v>58</v>
      </c>
      <c r="D17" s="4" t="s">
        <v>58</v>
      </c>
      <c r="E17" s="4" t="s">
        <v>27</v>
      </c>
      <c r="F17" s="4" t="n">
        <v>2000</v>
      </c>
      <c r="G17" s="4" t="n">
        <v>2200</v>
      </c>
      <c r="H17" s="4" t="s">
        <v>59</v>
      </c>
      <c r="I17" s="4"/>
      <c r="J17" s="4" t="n">
        <v>36</v>
      </c>
      <c r="K17" s="4" t="n">
        <v>0</v>
      </c>
      <c r="L17" s="5" t="n">
        <f aca="false">J17+K17</f>
        <v>36</v>
      </c>
      <c r="M17" s="4" t="s">
        <v>54</v>
      </c>
    </row>
    <row r="18" customFormat="false" ht="15" hidden="false" customHeight="false" outlineLevel="0" collapsed="false">
      <c r="A18" s="4" t="n">
        <v>17</v>
      </c>
      <c r="B18" s="4" t="s">
        <v>25</v>
      </c>
      <c r="C18" s="4" t="s">
        <v>60</v>
      </c>
      <c r="D18" s="4" t="s">
        <v>60</v>
      </c>
      <c r="E18" s="4" t="s">
        <v>27</v>
      </c>
      <c r="F18" s="4" t="n">
        <v>2000</v>
      </c>
      <c r="G18" s="4" t="n">
        <v>2000</v>
      </c>
      <c r="H18" s="4" t="s">
        <v>51</v>
      </c>
      <c r="I18" s="4"/>
      <c r="J18" s="4" t="n">
        <v>0</v>
      </c>
      <c r="K18" s="4" t="n">
        <v>0</v>
      </c>
      <c r="L18" s="5" t="n">
        <f aca="false">J18+K18</f>
        <v>0</v>
      </c>
      <c r="M18" s="4"/>
    </row>
    <row r="19" customFormat="false" ht="15" hidden="false" customHeight="false" outlineLevel="0" collapsed="false">
      <c r="A19" s="4" t="n">
        <v>18</v>
      </c>
      <c r="B19" s="4" t="s">
        <v>25</v>
      </c>
      <c r="C19" s="4" t="s">
        <v>61</v>
      </c>
      <c r="D19" s="4" t="s">
        <v>61</v>
      </c>
      <c r="E19" s="4" t="s">
        <v>27</v>
      </c>
      <c r="F19" s="4" t="n">
        <v>4000</v>
      </c>
      <c r="G19" s="4" t="n">
        <v>4000</v>
      </c>
      <c r="H19" s="4" t="s">
        <v>49</v>
      </c>
      <c r="I19" s="4"/>
      <c r="J19" s="4" t="n">
        <v>2</v>
      </c>
      <c r="K19" s="4" t="n">
        <v>0</v>
      </c>
      <c r="L19" s="5" t="n">
        <f aca="false">J19+K19</f>
        <v>2</v>
      </c>
      <c r="M19" s="4"/>
    </row>
    <row r="20" customFormat="false" ht="15" hidden="false" customHeight="false" outlineLevel="0" collapsed="false">
      <c r="A20" s="4" t="n">
        <v>19</v>
      </c>
      <c r="B20" s="4" t="s">
        <v>25</v>
      </c>
      <c r="C20" s="4" t="s">
        <v>62</v>
      </c>
      <c r="D20" s="4" t="s">
        <v>62</v>
      </c>
      <c r="E20" s="4" t="s">
        <v>27</v>
      </c>
      <c r="F20" s="4" t="n">
        <v>3500</v>
      </c>
      <c r="G20" s="4" t="n">
        <v>3500</v>
      </c>
      <c r="H20" s="4" t="s">
        <v>49</v>
      </c>
      <c r="I20" s="4"/>
      <c r="J20" s="4" t="n">
        <v>2</v>
      </c>
      <c r="K20" s="4" t="n">
        <v>0</v>
      </c>
      <c r="L20" s="5" t="n">
        <f aca="false">J20+K20</f>
        <v>2</v>
      </c>
      <c r="M20" s="4"/>
    </row>
    <row r="21" customFormat="false" ht="15" hidden="false" customHeight="false" outlineLevel="0" collapsed="false">
      <c r="A21" s="4" t="n">
        <v>20</v>
      </c>
      <c r="B21" s="4" t="s">
        <v>25</v>
      </c>
      <c r="C21" s="4" t="s">
        <v>63</v>
      </c>
      <c r="D21" s="4" t="s">
        <v>63</v>
      </c>
      <c r="E21" s="4" t="s">
        <v>27</v>
      </c>
      <c r="F21" s="4" t="n">
        <v>4000</v>
      </c>
      <c r="G21" s="4" t="n">
        <v>4000</v>
      </c>
      <c r="H21" s="4" t="s">
        <v>51</v>
      </c>
      <c r="I21" s="4"/>
      <c r="J21" s="4" t="n">
        <v>0</v>
      </c>
      <c r="K21" s="4" t="n">
        <v>0</v>
      </c>
      <c r="L21" s="5" t="n">
        <f aca="false">J21+K21</f>
        <v>0</v>
      </c>
      <c r="M21" s="4"/>
    </row>
    <row r="22" customFormat="false" ht="15" hidden="false" customHeight="false" outlineLevel="0" collapsed="false">
      <c r="A22" s="4" t="n">
        <v>21</v>
      </c>
      <c r="B22" s="4" t="s">
        <v>25</v>
      </c>
      <c r="C22" s="4" t="s">
        <v>64</v>
      </c>
      <c r="D22" s="4" t="s">
        <v>64</v>
      </c>
      <c r="E22" s="4" t="s">
        <v>27</v>
      </c>
      <c r="F22" s="4" t="n">
        <v>1400</v>
      </c>
      <c r="G22" s="4" t="n">
        <v>1500</v>
      </c>
      <c r="H22" s="4" t="s">
        <v>65</v>
      </c>
      <c r="I22" s="4"/>
      <c r="J22" s="4" t="n">
        <v>52</v>
      </c>
      <c r="K22" s="4" t="n">
        <v>0</v>
      </c>
      <c r="L22" s="5" t="n">
        <f aca="false">J22+K22</f>
        <v>52</v>
      </c>
      <c r="M22" s="4" t="s">
        <v>29</v>
      </c>
    </row>
    <row r="23" customFormat="false" ht="15" hidden="false" customHeight="false" outlineLevel="0" collapsed="false">
      <c r="A23" s="4" t="n">
        <v>22</v>
      </c>
      <c r="B23" s="4" t="s">
        <v>25</v>
      </c>
      <c r="C23" s="4" t="s">
        <v>66</v>
      </c>
      <c r="D23" s="4" t="s">
        <v>66</v>
      </c>
      <c r="E23" s="4" t="s">
        <v>27</v>
      </c>
      <c r="F23" s="4" t="n">
        <v>5500</v>
      </c>
      <c r="G23" s="4" t="n">
        <v>6000</v>
      </c>
      <c r="H23" s="4" t="s">
        <v>51</v>
      </c>
      <c r="I23" s="4"/>
      <c r="J23" s="4" t="n">
        <v>0</v>
      </c>
      <c r="K23" s="4" t="n">
        <v>0</v>
      </c>
      <c r="L23" s="5" t="n">
        <f aca="false">J23+K23</f>
        <v>0</v>
      </c>
      <c r="M23" s="4" t="s">
        <v>67</v>
      </c>
    </row>
    <row r="24" customFormat="false" ht="15" hidden="false" customHeight="false" outlineLevel="0" collapsed="false">
      <c r="A24" s="4" t="n">
        <v>23</v>
      </c>
      <c r="B24" s="4" t="s">
        <v>25</v>
      </c>
      <c r="C24" s="4" t="s">
        <v>68</v>
      </c>
      <c r="D24" s="4" t="s">
        <v>68</v>
      </c>
      <c r="E24" s="4" t="s">
        <v>27</v>
      </c>
      <c r="F24" s="4" t="n">
        <v>9000</v>
      </c>
      <c r="G24" s="4" t="n">
        <v>9000</v>
      </c>
      <c r="H24" s="4" t="s">
        <v>69</v>
      </c>
      <c r="I24" s="4"/>
      <c r="J24" s="4" t="n">
        <v>1</v>
      </c>
      <c r="K24" s="4" t="n">
        <v>0</v>
      </c>
      <c r="L24" s="5" t="n">
        <f aca="false">J24+K24</f>
        <v>1</v>
      </c>
      <c r="M24" s="4"/>
    </row>
    <row r="25" customFormat="false" ht="15" hidden="false" customHeight="false" outlineLevel="0" collapsed="false">
      <c r="A25" s="4" t="n">
        <v>24</v>
      </c>
      <c r="B25" s="4" t="s">
        <v>25</v>
      </c>
      <c r="C25" s="4" t="s">
        <v>70</v>
      </c>
      <c r="D25" s="4" t="s">
        <v>70</v>
      </c>
      <c r="E25" s="4" t="s">
        <v>27</v>
      </c>
      <c r="F25" s="4" t="n">
        <v>2500</v>
      </c>
      <c r="G25" s="4" t="n">
        <v>2500</v>
      </c>
      <c r="H25" s="4" t="s">
        <v>69</v>
      </c>
      <c r="I25" s="4"/>
      <c r="J25" s="4" t="n">
        <v>1</v>
      </c>
      <c r="K25" s="4" t="n">
        <v>0</v>
      </c>
      <c r="L25" s="5" t="n">
        <f aca="false">J25+K25</f>
        <v>1</v>
      </c>
      <c r="M25" s="4"/>
    </row>
    <row r="26" customFormat="false" ht="15" hidden="false" customHeight="false" outlineLevel="0" collapsed="false">
      <c r="A26" s="4" t="n">
        <v>25</v>
      </c>
      <c r="B26" s="4" t="s">
        <v>25</v>
      </c>
      <c r="C26" s="4" t="s">
        <v>71</v>
      </c>
      <c r="D26" s="4" t="s">
        <v>71</v>
      </c>
      <c r="E26" s="4" t="s">
        <v>27</v>
      </c>
      <c r="F26" s="4" t="n">
        <v>500</v>
      </c>
      <c r="G26" s="4" t="n">
        <v>500</v>
      </c>
      <c r="H26" s="4" t="s">
        <v>72</v>
      </c>
      <c r="I26" s="4"/>
      <c r="J26" s="4" t="n">
        <v>269</v>
      </c>
      <c r="K26" s="4" t="n">
        <v>0</v>
      </c>
      <c r="L26" s="5" t="n">
        <f aca="false">J26+K26</f>
        <v>269</v>
      </c>
      <c r="M26" s="4"/>
    </row>
    <row r="27" customFormat="false" ht="52.2" hidden="false" customHeight="false" outlineLevel="0" collapsed="false">
      <c r="A27" s="4" t="n">
        <v>26</v>
      </c>
      <c r="B27" s="6" t="s">
        <v>30</v>
      </c>
      <c r="C27" s="4" t="s">
        <v>73</v>
      </c>
      <c r="D27" s="6" t="s">
        <v>74</v>
      </c>
      <c r="E27" s="4" t="s">
        <v>27</v>
      </c>
      <c r="F27" s="4" t="n">
        <v>170</v>
      </c>
      <c r="G27" s="4" t="n">
        <v>2500</v>
      </c>
      <c r="H27" s="4" t="s">
        <v>75</v>
      </c>
      <c r="I27" s="4"/>
      <c r="J27" s="4" t="n">
        <v>5</v>
      </c>
      <c r="K27" s="4" t="n">
        <v>0</v>
      </c>
      <c r="L27" s="5" t="n">
        <f aca="false">J27+K27</f>
        <v>5</v>
      </c>
      <c r="M27" s="4" t="s">
        <v>76</v>
      </c>
    </row>
    <row r="28" customFormat="false" ht="15" hidden="false" customHeight="false" outlineLevel="0" collapsed="false">
      <c r="A28" s="4" t="n">
        <v>27</v>
      </c>
      <c r="B28" s="4" t="s">
        <v>25</v>
      </c>
      <c r="C28" s="4" t="s">
        <v>77</v>
      </c>
      <c r="D28" s="4" t="s">
        <v>77</v>
      </c>
      <c r="E28" s="4" t="s">
        <v>27</v>
      </c>
      <c r="F28" s="4" t="n">
        <v>1170</v>
      </c>
      <c r="G28" s="4" t="n">
        <v>1170</v>
      </c>
      <c r="H28" s="4" t="s">
        <v>38</v>
      </c>
      <c r="I28" s="4"/>
      <c r="J28" s="4" t="n">
        <v>0</v>
      </c>
      <c r="K28" s="4" t="n">
        <v>0</v>
      </c>
      <c r="L28" s="5" t="n">
        <f aca="false">J28+K28</f>
        <v>0</v>
      </c>
      <c r="M28" s="4" t="s">
        <v>39</v>
      </c>
    </row>
    <row r="29" customFormat="false" ht="15" hidden="false" customHeight="false" outlineLevel="0" collapsed="false">
      <c r="A29" s="4" t="n">
        <v>28</v>
      </c>
      <c r="B29" s="4" t="s">
        <v>25</v>
      </c>
      <c r="C29" s="4" t="s">
        <v>78</v>
      </c>
      <c r="D29" s="4" t="s">
        <v>78</v>
      </c>
      <c r="E29" s="4" t="s">
        <v>27</v>
      </c>
      <c r="F29" s="4" t="n">
        <v>1170</v>
      </c>
      <c r="G29" s="4" t="n">
        <v>1170</v>
      </c>
      <c r="H29" s="4" t="s">
        <v>79</v>
      </c>
      <c r="I29" s="4"/>
      <c r="J29" s="4" t="n">
        <v>16</v>
      </c>
      <c r="K29" s="4" t="n">
        <v>0</v>
      </c>
      <c r="L29" s="5" t="n">
        <f aca="false">J29+K29</f>
        <v>16</v>
      </c>
      <c r="M29" s="4"/>
    </row>
    <row r="30" customFormat="false" ht="15" hidden="false" customHeight="false" outlineLevel="0" collapsed="false">
      <c r="A30" s="4" t="n">
        <v>29</v>
      </c>
      <c r="B30" s="4" t="s">
        <v>25</v>
      </c>
      <c r="C30" s="4" t="s">
        <v>80</v>
      </c>
      <c r="D30" s="4" t="s">
        <v>80</v>
      </c>
      <c r="E30" s="4" t="s">
        <v>27</v>
      </c>
      <c r="F30" s="4"/>
      <c r="G30" s="4" t="n">
        <v>3000</v>
      </c>
      <c r="H30" s="4" t="s">
        <v>69</v>
      </c>
      <c r="I30" s="4"/>
      <c r="J30" s="4" t="n">
        <v>1</v>
      </c>
      <c r="K30" s="4" t="n">
        <v>0</v>
      </c>
      <c r="L30" s="5" t="n">
        <f aca="false">J30+K30</f>
        <v>1</v>
      </c>
      <c r="M30" s="4"/>
    </row>
    <row r="31" customFormat="false" ht="15" hidden="false" customHeight="false" outlineLevel="0" collapsed="false">
      <c r="A31" s="4" t="n">
        <v>30</v>
      </c>
      <c r="B31" s="4" t="s">
        <v>25</v>
      </c>
      <c r="C31" s="4" t="s">
        <v>81</v>
      </c>
      <c r="D31" s="4" t="s">
        <v>81</v>
      </c>
      <c r="E31" s="4" t="s">
        <v>27</v>
      </c>
      <c r="F31" s="4" t="n">
        <v>3500</v>
      </c>
      <c r="G31" s="4" t="n">
        <v>3500</v>
      </c>
      <c r="H31" s="4" t="s">
        <v>82</v>
      </c>
      <c r="I31" s="4"/>
      <c r="J31" s="4" t="n">
        <v>6</v>
      </c>
      <c r="K31" s="4" t="n">
        <v>0</v>
      </c>
      <c r="L31" s="5" t="n">
        <f aca="false">J31+K31</f>
        <v>6</v>
      </c>
      <c r="M31" s="4"/>
    </row>
    <row r="32" customFormat="false" ht="26.85" hidden="false" customHeight="false" outlineLevel="0" collapsed="false">
      <c r="A32" s="4" t="n">
        <v>31</v>
      </c>
      <c r="B32" s="6" t="s">
        <v>30</v>
      </c>
      <c r="C32" s="4" t="s">
        <v>83</v>
      </c>
      <c r="D32" s="6" t="s">
        <v>84</v>
      </c>
      <c r="E32" s="4" t="s">
        <v>27</v>
      </c>
      <c r="F32" s="4" t="n">
        <v>3500</v>
      </c>
      <c r="G32" s="4" t="n">
        <v>3500</v>
      </c>
      <c r="H32" s="4"/>
      <c r="I32" s="4" t="s">
        <v>49</v>
      </c>
      <c r="J32" s="4" t="n">
        <v>0</v>
      </c>
      <c r="K32" s="4" t="n">
        <v>2</v>
      </c>
      <c r="L32" s="5" t="n">
        <f aca="false">J32+K32</f>
        <v>2</v>
      </c>
      <c r="M32" s="4" t="s">
        <v>85</v>
      </c>
    </row>
    <row r="33" customFormat="false" ht="26.85" hidden="false" customHeight="false" outlineLevel="0" collapsed="false">
      <c r="A33" s="4" t="n">
        <v>32</v>
      </c>
      <c r="B33" s="6" t="s">
        <v>30</v>
      </c>
      <c r="C33" s="4" t="s">
        <v>86</v>
      </c>
      <c r="D33" s="6" t="s">
        <v>87</v>
      </c>
      <c r="E33" s="4" t="s">
        <v>27</v>
      </c>
      <c r="F33" s="4" t="n">
        <v>5000</v>
      </c>
      <c r="G33" s="4" t="n">
        <v>5000</v>
      </c>
      <c r="H33" s="4"/>
      <c r="I33" s="4" t="s">
        <v>88</v>
      </c>
      <c r="J33" s="4" t="n">
        <v>0</v>
      </c>
      <c r="K33" s="4" t="n">
        <v>3</v>
      </c>
      <c r="L33" s="5" t="n">
        <f aca="false">J33+K33</f>
        <v>3</v>
      </c>
      <c r="M33" s="4" t="s">
        <v>89</v>
      </c>
    </row>
    <row r="34" customFormat="false" ht="26.85" hidden="false" customHeight="false" outlineLevel="0" collapsed="false">
      <c r="A34" s="4" t="n">
        <v>33</v>
      </c>
      <c r="B34" s="6" t="s">
        <v>30</v>
      </c>
      <c r="C34" s="4" t="s">
        <v>90</v>
      </c>
      <c r="D34" s="6" t="s">
        <v>91</v>
      </c>
      <c r="E34" s="4" t="s">
        <v>27</v>
      </c>
      <c r="F34" s="4" t="n">
        <v>3500</v>
      </c>
      <c r="G34" s="4" t="n">
        <v>3500</v>
      </c>
      <c r="H34" s="4"/>
      <c r="I34" s="4" t="s">
        <v>28</v>
      </c>
      <c r="J34" s="4" t="n">
        <v>0</v>
      </c>
      <c r="K34" s="4" t="n">
        <v>4</v>
      </c>
      <c r="L34" s="5" t="n">
        <f aca="false">J34+K34</f>
        <v>4</v>
      </c>
      <c r="M34" s="4" t="s">
        <v>92</v>
      </c>
    </row>
    <row r="35" customFormat="false" ht="15" hidden="false" customHeight="false" outlineLevel="0" collapsed="false">
      <c r="A35" s="4" t="n">
        <v>34</v>
      </c>
      <c r="B35" s="4" t="s">
        <v>25</v>
      </c>
      <c r="C35" s="4" t="s">
        <v>93</v>
      </c>
      <c r="D35" s="4" t="s">
        <v>93</v>
      </c>
      <c r="E35" s="4" t="s">
        <v>27</v>
      </c>
      <c r="F35" s="4" t="n">
        <v>4000</v>
      </c>
      <c r="G35" s="4" t="n">
        <v>4000</v>
      </c>
      <c r="H35" s="4" t="s">
        <v>33</v>
      </c>
      <c r="I35" s="4"/>
      <c r="J35" s="4" t="n">
        <v>0</v>
      </c>
      <c r="K35" s="4" t="n">
        <v>0</v>
      </c>
      <c r="L35" s="5" t="n">
        <f aca="false">J35+K35</f>
        <v>0</v>
      </c>
      <c r="M35" s="4"/>
    </row>
    <row r="36" customFormat="false" ht="15" hidden="false" customHeight="false" outlineLevel="0" collapsed="false">
      <c r="A36" s="4" t="n">
        <v>35</v>
      </c>
      <c r="B36" s="4" t="s">
        <v>25</v>
      </c>
      <c r="C36" s="4" t="s">
        <v>94</v>
      </c>
      <c r="D36" s="4" t="s">
        <v>94</v>
      </c>
      <c r="E36" s="4" t="s">
        <v>27</v>
      </c>
      <c r="F36" s="4" t="n">
        <v>3800</v>
      </c>
      <c r="G36" s="4" t="n">
        <v>3800</v>
      </c>
      <c r="H36" s="4" t="s">
        <v>49</v>
      </c>
      <c r="I36" s="4"/>
      <c r="J36" s="4" t="n">
        <v>2</v>
      </c>
      <c r="K36" s="4" t="n">
        <v>0</v>
      </c>
      <c r="L36" s="5" t="n">
        <f aca="false">J36+K36</f>
        <v>2</v>
      </c>
      <c r="M36" s="4"/>
    </row>
    <row r="37" customFormat="false" ht="15" hidden="false" customHeight="false" outlineLevel="0" collapsed="false">
      <c r="A37" s="4" t="n">
        <v>36</v>
      </c>
      <c r="B37" s="4" t="s">
        <v>25</v>
      </c>
      <c r="C37" s="4" t="s">
        <v>95</v>
      </c>
      <c r="D37" s="4" t="s">
        <v>95</v>
      </c>
      <c r="E37" s="4" t="s">
        <v>27</v>
      </c>
      <c r="F37" s="4" t="n">
        <v>3000</v>
      </c>
      <c r="G37" s="4" t="n">
        <v>3000</v>
      </c>
      <c r="H37" s="4" t="s">
        <v>49</v>
      </c>
      <c r="I37" s="4"/>
      <c r="J37" s="4" t="n">
        <v>2</v>
      </c>
      <c r="K37" s="4" t="n">
        <v>0</v>
      </c>
      <c r="L37" s="5" t="n">
        <f aca="false">J37+K37</f>
        <v>2</v>
      </c>
      <c r="M37" s="4"/>
    </row>
    <row r="38" customFormat="false" ht="26.85" hidden="false" customHeight="false" outlineLevel="0" collapsed="false">
      <c r="A38" s="4" t="n">
        <v>37</v>
      </c>
      <c r="B38" s="6" t="s">
        <v>30</v>
      </c>
      <c r="C38" s="4" t="s">
        <v>96</v>
      </c>
      <c r="D38" s="6" t="s">
        <v>97</v>
      </c>
      <c r="E38" s="4" t="s">
        <v>27</v>
      </c>
      <c r="F38" s="4" t="n">
        <v>5000</v>
      </c>
      <c r="G38" s="4" t="n">
        <v>5000</v>
      </c>
      <c r="H38" s="4" t="s">
        <v>69</v>
      </c>
      <c r="I38" s="4"/>
      <c r="J38" s="4" t="n">
        <v>1</v>
      </c>
      <c r="K38" s="4" t="n">
        <v>0</v>
      </c>
      <c r="L38" s="5" t="n">
        <f aca="false">J38+K38</f>
        <v>1</v>
      </c>
      <c r="M38" s="4"/>
    </row>
    <row r="39" customFormat="false" ht="15" hidden="false" customHeight="false" outlineLevel="0" collapsed="false">
      <c r="A39" s="4" t="n">
        <v>38</v>
      </c>
      <c r="B39" s="4" t="s">
        <v>25</v>
      </c>
      <c r="C39" s="4" t="s">
        <v>98</v>
      </c>
      <c r="D39" s="4" t="s">
        <v>98</v>
      </c>
      <c r="E39" s="4" t="s">
        <v>27</v>
      </c>
      <c r="F39" s="4" t="n">
        <v>2500</v>
      </c>
      <c r="G39" s="4" t="n">
        <v>2500</v>
      </c>
      <c r="H39" s="4" t="s">
        <v>69</v>
      </c>
      <c r="I39" s="4"/>
      <c r="J39" s="4" t="n">
        <v>1</v>
      </c>
      <c r="K39" s="4" t="n">
        <v>0</v>
      </c>
      <c r="L39" s="5" t="n">
        <f aca="false">J39+K39</f>
        <v>1</v>
      </c>
      <c r="M39" s="4"/>
    </row>
    <row r="40" customFormat="false" ht="26.85" hidden="false" customHeight="false" outlineLevel="0" collapsed="false">
      <c r="A40" s="4" t="n">
        <v>39</v>
      </c>
      <c r="B40" s="6" t="s">
        <v>30</v>
      </c>
      <c r="C40" s="4" t="s">
        <v>99</v>
      </c>
      <c r="D40" s="6" t="s">
        <v>100</v>
      </c>
      <c r="E40" s="4" t="s">
        <v>27</v>
      </c>
      <c r="F40" s="4" t="n">
        <v>1800</v>
      </c>
      <c r="G40" s="4" t="n">
        <v>1800</v>
      </c>
      <c r="H40" s="4" t="s">
        <v>33</v>
      </c>
      <c r="I40" s="4" t="s">
        <v>49</v>
      </c>
      <c r="J40" s="4" t="n">
        <v>0</v>
      </c>
      <c r="K40" s="4" t="n">
        <v>2</v>
      </c>
      <c r="L40" s="5" t="n">
        <f aca="false">J40+K40</f>
        <v>2</v>
      </c>
      <c r="M40" s="4"/>
    </row>
    <row r="41" customFormat="false" ht="15" hidden="false" customHeight="false" outlineLevel="0" collapsed="false">
      <c r="A41" s="4" t="n">
        <v>40</v>
      </c>
      <c r="B41" s="4" t="s">
        <v>25</v>
      </c>
      <c r="C41" s="4" t="s">
        <v>101</v>
      </c>
      <c r="D41" s="4" t="s">
        <v>101</v>
      </c>
      <c r="E41" s="4" t="s">
        <v>27</v>
      </c>
      <c r="F41" s="4" t="n">
        <v>4500</v>
      </c>
      <c r="G41" s="4" t="n">
        <v>4500</v>
      </c>
      <c r="H41" s="4" t="s">
        <v>69</v>
      </c>
      <c r="I41" s="4"/>
      <c r="J41" s="4" t="n">
        <v>1</v>
      </c>
      <c r="K41" s="4" t="n">
        <v>0</v>
      </c>
      <c r="L41" s="5" t="n">
        <f aca="false">J41+K41</f>
        <v>1</v>
      </c>
      <c r="M41" s="4"/>
    </row>
    <row r="42" customFormat="false" ht="26.85" hidden="false" customHeight="false" outlineLevel="0" collapsed="false">
      <c r="A42" s="4" t="n">
        <v>41</v>
      </c>
      <c r="B42" s="6" t="s">
        <v>30</v>
      </c>
      <c r="C42" s="4" t="s">
        <v>102</v>
      </c>
      <c r="D42" s="6" t="s">
        <v>103</v>
      </c>
      <c r="E42" s="4" t="s">
        <v>27</v>
      </c>
      <c r="F42" s="4" t="n">
        <v>5000</v>
      </c>
      <c r="G42" s="4" t="n">
        <v>5000</v>
      </c>
      <c r="H42" s="4" t="s">
        <v>51</v>
      </c>
      <c r="I42" s="4" t="s">
        <v>28</v>
      </c>
      <c r="J42" s="4" t="n">
        <v>0</v>
      </c>
      <c r="K42" s="4" t="n">
        <v>4</v>
      </c>
      <c r="L42" s="5" t="n">
        <f aca="false">J42+K42</f>
        <v>4</v>
      </c>
      <c r="M42" s="4"/>
    </row>
    <row r="43" customFormat="false" ht="26.85" hidden="false" customHeight="false" outlineLevel="0" collapsed="false">
      <c r="A43" s="4" t="n">
        <v>42</v>
      </c>
      <c r="B43" s="6" t="s">
        <v>30</v>
      </c>
      <c r="C43" s="4" t="s">
        <v>104</v>
      </c>
      <c r="D43" s="6" t="s">
        <v>105</v>
      </c>
      <c r="E43" s="4" t="s">
        <v>27</v>
      </c>
      <c r="F43" s="4"/>
      <c r="G43" s="4" t="n">
        <v>2500</v>
      </c>
      <c r="H43" s="4" t="s">
        <v>51</v>
      </c>
      <c r="I43" s="4" t="s">
        <v>88</v>
      </c>
      <c r="J43" s="4" t="n">
        <v>0</v>
      </c>
      <c r="K43" s="4" t="n">
        <v>3</v>
      </c>
      <c r="L43" s="5" t="n">
        <f aca="false">J43+K43</f>
        <v>3</v>
      </c>
      <c r="M43" s="4"/>
    </row>
    <row r="44" customFormat="false" ht="15" hidden="false" customHeight="false" outlineLevel="0" collapsed="false">
      <c r="A44" s="4" t="n">
        <v>43</v>
      </c>
      <c r="B44" s="4" t="s">
        <v>25</v>
      </c>
      <c r="C44" s="4" t="s">
        <v>106</v>
      </c>
      <c r="D44" s="4" t="s">
        <v>106</v>
      </c>
      <c r="E44" s="4" t="s">
        <v>27</v>
      </c>
      <c r="F44" s="4" t="n">
        <v>3800</v>
      </c>
      <c r="G44" s="4" t="n">
        <v>3800</v>
      </c>
      <c r="H44" s="4" t="s">
        <v>107</v>
      </c>
      <c r="I44" s="4"/>
      <c r="J44" s="4" t="n">
        <v>11</v>
      </c>
      <c r="K44" s="4" t="n">
        <v>0</v>
      </c>
      <c r="L44" s="5" t="n">
        <f aca="false">J44+K44</f>
        <v>11</v>
      </c>
      <c r="M44" s="4"/>
    </row>
    <row r="45" customFormat="false" ht="15" hidden="false" customHeight="false" outlineLevel="0" collapsed="false">
      <c r="A45" s="4" t="n">
        <v>44</v>
      </c>
      <c r="B45" s="4" t="s">
        <v>25</v>
      </c>
      <c r="C45" s="4" t="s">
        <v>108</v>
      </c>
      <c r="D45" s="4" t="s">
        <v>108</v>
      </c>
      <c r="E45" s="4" t="s">
        <v>27</v>
      </c>
      <c r="F45" s="4" t="n">
        <v>4800</v>
      </c>
      <c r="G45" s="4" t="n">
        <v>4800</v>
      </c>
      <c r="H45" s="4" t="s">
        <v>88</v>
      </c>
      <c r="I45" s="4"/>
      <c r="J45" s="4" t="n">
        <v>3</v>
      </c>
      <c r="K45" s="4" t="n">
        <v>0</v>
      </c>
      <c r="L45" s="5" t="n">
        <f aca="false">J45+K45</f>
        <v>3</v>
      </c>
      <c r="M45" s="4"/>
    </row>
    <row r="46" customFormat="false" ht="15" hidden="false" customHeight="false" outlineLevel="0" collapsed="false">
      <c r="A46" s="4" t="n">
        <v>45</v>
      </c>
      <c r="B46" s="4" t="s">
        <v>25</v>
      </c>
      <c r="C46" s="4" t="s">
        <v>109</v>
      </c>
      <c r="D46" s="4" t="s">
        <v>109</v>
      </c>
      <c r="E46" s="4" t="s">
        <v>27</v>
      </c>
      <c r="F46" s="4" t="n">
        <v>5000</v>
      </c>
      <c r="G46" s="4" t="n">
        <v>5000</v>
      </c>
      <c r="H46" s="4" t="s">
        <v>28</v>
      </c>
      <c r="I46" s="4"/>
      <c r="J46" s="4" t="n">
        <v>4</v>
      </c>
      <c r="K46" s="4" t="n">
        <v>0</v>
      </c>
      <c r="L46" s="5" t="n">
        <f aca="false">J46+K46</f>
        <v>4</v>
      </c>
      <c r="M46" s="4"/>
    </row>
    <row r="47" customFormat="false" ht="15" hidden="false" customHeight="false" outlineLevel="0" collapsed="false">
      <c r="A47" s="4" t="n">
        <v>46</v>
      </c>
      <c r="B47" s="4" t="s">
        <v>25</v>
      </c>
      <c r="C47" s="4" t="s">
        <v>110</v>
      </c>
      <c r="D47" s="4" t="s">
        <v>110</v>
      </c>
      <c r="E47" s="4" t="s">
        <v>27</v>
      </c>
      <c r="F47" s="4" t="n">
        <v>4000</v>
      </c>
      <c r="G47" s="4" t="n">
        <v>4000</v>
      </c>
      <c r="H47" s="4"/>
      <c r="I47" s="4" t="s">
        <v>111</v>
      </c>
      <c r="J47" s="4" t="n">
        <v>0</v>
      </c>
      <c r="K47" s="4" t="n">
        <v>4</v>
      </c>
      <c r="L47" s="5" t="n">
        <f aca="false">J47+K47</f>
        <v>4</v>
      </c>
      <c r="M47" s="4"/>
    </row>
    <row r="48" customFormat="false" ht="15" hidden="false" customHeight="false" outlineLevel="0" collapsed="false">
      <c r="A48" s="4" t="n">
        <v>47</v>
      </c>
      <c r="B48" s="4" t="s">
        <v>25</v>
      </c>
      <c r="C48" s="4" t="s">
        <v>112</v>
      </c>
      <c r="D48" s="4" t="s">
        <v>112</v>
      </c>
      <c r="E48" s="4" t="s">
        <v>27</v>
      </c>
      <c r="F48" s="4" t="n">
        <v>3500</v>
      </c>
      <c r="G48" s="4" t="n">
        <v>3500</v>
      </c>
      <c r="H48" s="4" t="s">
        <v>38</v>
      </c>
      <c r="I48" s="4"/>
      <c r="J48" s="4" t="n">
        <v>0</v>
      </c>
      <c r="K48" s="4" t="n">
        <v>0</v>
      </c>
      <c r="L48" s="5" t="n">
        <f aca="false">J48+K48</f>
        <v>0</v>
      </c>
      <c r="M48" s="4" t="s">
        <v>39</v>
      </c>
    </row>
    <row r="49" customFormat="false" ht="15" hidden="false" customHeight="false" outlineLevel="0" collapsed="false">
      <c r="A49" s="4" t="n">
        <v>48</v>
      </c>
      <c r="B49" s="4" t="s">
        <v>25</v>
      </c>
      <c r="C49" s="4" t="s">
        <v>113</v>
      </c>
      <c r="D49" s="4" t="s">
        <v>113</v>
      </c>
      <c r="E49" s="4" t="s">
        <v>27</v>
      </c>
      <c r="F49" s="4" t="n">
        <v>3500</v>
      </c>
      <c r="G49" s="4" t="n">
        <v>3500</v>
      </c>
      <c r="H49" s="4"/>
      <c r="I49" s="4" t="s">
        <v>88</v>
      </c>
      <c r="J49" s="4" t="n">
        <v>0</v>
      </c>
      <c r="K49" s="4" t="n">
        <v>3</v>
      </c>
      <c r="L49" s="5" t="n">
        <f aca="false">J49+K49</f>
        <v>3</v>
      </c>
      <c r="M49" s="4"/>
    </row>
    <row r="50" customFormat="false" ht="15" hidden="false" customHeight="false" outlineLevel="0" collapsed="false">
      <c r="A50" s="4" t="n">
        <v>49</v>
      </c>
      <c r="B50" s="4" t="s">
        <v>25</v>
      </c>
      <c r="C50" s="4" t="s">
        <v>114</v>
      </c>
      <c r="D50" s="4" t="s">
        <v>114</v>
      </c>
      <c r="E50" s="4" t="s">
        <v>27</v>
      </c>
      <c r="F50" s="4" t="n">
        <v>1670</v>
      </c>
      <c r="G50" s="4" t="n">
        <v>1670</v>
      </c>
      <c r="H50" s="4" t="s">
        <v>82</v>
      </c>
      <c r="I50" s="4"/>
      <c r="J50" s="4" t="n">
        <v>6</v>
      </c>
      <c r="K50" s="4" t="n">
        <v>0</v>
      </c>
      <c r="L50" s="5" t="n">
        <f aca="false">J50+K50</f>
        <v>6</v>
      </c>
      <c r="M50" s="4"/>
    </row>
    <row r="51" customFormat="false" ht="15" hidden="false" customHeight="false" outlineLevel="0" collapsed="false">
      <c r="A51" s="4" t="n">
        <v>50</v>
      </c>
      <c r="B51" s="4" t="s">
        <v>25</v>
      </c>
      <c r="C51" s="4" t="s">
        <v>115</v>
      </c>
      <c r="D51" s="4" t="s">
        <v>115</v>
      </c>
      <c r="E51" s="4" t="s">
        <v>27</v>
      </c>
      <c r="F51" s="4" t="n">
        <v>1500</v>
      </c>
      <c r="G51" s="4" t="n">
        <v>1500</v>
      </c>
      <c r="H51" s="4" t="s">
        <v>116</v>
      </c>
      <c r="I51" s="4"/>
      <c r="J51" s="4" t="n">
        <v>22</v>
      </c>
      <c r="K51" s="4" t="n">
        <v>0</v>
      </c>
      <c r="L51" s="5" t="n">
        <f aca="false">J51+K51</f>
        <v>22</v>
      </c>
      <c r="M51" s="4"/>
    </row>
    <row r="52" customFormat="false" ht="15" hidden="false" customHeight="false" outlineLevel="0" collapsed="false">
      <c r="A52" s="4" t="n">
        <v>51</v>
      </c>
      <c r="B52" s="4" t="s">
        <v>25</v>
      </c>
      <c r="C52" s="4" t="s">
        <v>117</v>
      </c>
      <c r="D52" s="4" t="s">
        <v>117</v>
      </c>
      <c r="E52" s="4" t="s">
        <v>27</v>
      </c>
      <c r="F52" s="4" t="n">
        <v>2000</v>
      </c>
      <c r="G52" s="4" t="n">
        <v>2000</v>
      </c>
      <c r="H52" s="4" t="s">
        <v>47</v>
      </c>
      <c r="I52" s="4"/>
      <c r="J52" s="4" t="n">
        <v>5</v>
      </c>
      <c r="K52" s="4" t="n">
        <v>0</v>
      </c>
      <c r="L52" s="5" t="n">
        <f aca="false">J52+K52</f>
        <v>5</v>
      </c>
      <c r="M52" s="4"/>
    </row>
    <row r="53" customFormat="false" ht="15" hidden="false" customHeight="false" outlineLevel="0" collapsed="false">
      <c r="A53" s="4" t="n">
        <v>52</v>
      </c>
      <c r="B53" s="4" t="s">
        <v>25</v>
      </c>
      <c r="C53" s="4" t="s">
        <v>118</v>
      </c>
      <c r="D53" s="4" t="s">
        <v>118</v>
      </c>
      <c r="E53" s="4" t="s">
        <v>27</v>
      </c>
      <c r="F53" s="4" t="n">
        <v>2500</v>
      </c>
      <c r="G53" s="4" t="n">
        <v>2500</v>
      </c>
      <c r="H53" s="4" t="s">
        <v>47</v>
      </c>
      <c r="I53" s="4"/>
      <c r="J53" s="4" t="n">
        <v>5</v>
      </c>
      <c r="K53" s="4" t="n">
        <v>0</v>
      </c>
      <c r="L53" s="5" t="n">
        <f aca="false">J53+K53</f>
        <v>5</v>
      </c>
      <c r="M53" s="4"/>
    </row>
    <row r="54" customFormat="false" ht="15" hidden="false" customHeight="false" outlineLevel="0" collapsed="false">
      <c r="A54" s="4" t="n">
        <v>53</v>
      </c>
      <c r="B54" s="4" t="s">
        <v>25</v>
      </c>
      <c r="C54" s="4" t="s">
        <v>119</v>
      </c>
      <c r="D54" s="4" t="s">
        <v>119</v>
      </c>
      <c r="E54" s="4" t="s">
        <v>27</v>
      </c>
      <c r="F54" s="4" t="n">
        <v>1800</v>
      </c>
      <c r="G54" s="4" t="n">
        <v>1800</v>
      </c>
      <c r="H54" s="4" t="s">
        <v>28</v>
      </c>
      <c r="I54" s="4"/>
      <c r="J54" s="4" t="n">
        <v>4</v>
      </c>
      <c r="K54" s="4" t="n">
        <v>0</v>
      </c>
      <c r="L54" s="5" t="n">
        <f aca="false">J54+K54</f>
        <v>4</v>
      </c>
      <c r="M54" s="4"/>
    </row>
    <row r="55" customFormat="false" ht="15" hidden="false" customHeight="false" outlineLevel="0" collapsed="false">
      <c r="A55" s="4" t="n">
        <v>54</v>
      </c>
      <c r="B55" s="4" t="s">
        <v>25</v>
      </c>
      <c r="C55" s="4" t="s">
        <v>120</v>
      </c>
      <c r="D55" s="4" t="s">
        <v>120</v>
      </c>
      <c r="E55" s="4" t="s">
        <v>27</v>
      </c>
      <c r="F55" s="4" t="n">
        <v>4000</v>
      </c>
      <c r="G55" s="4" t="n">
        <v>4000</v>
      </c>
      <c r="H55" s="4" t="s">
        <v>51</v>
      </c>
      <c r="I55" s="4"/>
      <c r="J55" s="4" t="n">
        <v>0</v>
      </c>
      <c r="K55" s="4" t="n">
        <v>0</v>
      </c>
      <c r="L55" s="5" t="n">
        <f aca="false">J55+K55</f>
        <v>0</v>
      </c>
      <c r="M55" s="4"/>
    </row>
    <row r="56" customFormat="false" ht="15" hidden="false" customHeight="false" outlineLevel="0" collapsed="false">
      <c r="A56" s="4" t="n">
        <v>55</v>
      </c>
      <c r="B56" s="4" t="s">
        <v>25</v>
      </c>
      <c r="C56" s="4" t="s">
        <v>121</v>
      </c>
      <c r="D56" s="4" t="s">
        <v>121</v>
      </c>
      <c r="E56" s="4" t="s">
        <v>27</v>
      </c>
      <c r="F56" s="4" t="n">
        <v>3500</v>
      </c>
      <c r="G56" s="4" t="n">
        <v>3500</v>
      </c>
      <c r="H56" s="4" t="s">
        <v>69</v>
      </c>
      <c r="I56" s="4"/>
      <c r="J56" s="4" t="n">
        <v>1</v>
      </c>
      <c r="K56" s="4" t="n">
        <v>0</v>
      </c>
      <c r="L56" s="5" t="n">
        <f aca="false">J56+K56</f>
        <v>1</v>
      </c>
      <c r="M56" s="4"/>
    </row>
    <row r="57" customFormat="false" ht="15" hidden="false" customHeight="false" outlineLevel="0" collapsed="false">
      <c r="A57" s="4" t="n">
        <v>56</v>
      </c>
      <c r="B57" s="4" t="s">
        <v>25</v>
      </c>
      <c r="C57" s="4" t="s">
        <v>122</v>
      </c>
      <c r="D57" s="4" t="s">
        <v>122</v>
      </c>
      <c r="E57" s="4" t="s">
        <v>27</v>
      </c>
      <c r="F57" s="4" t="n">
        <v>2700</v>
      </c>
      <c r="G57" s="4" t="n">
        <v>2700</v>
      </c>
      <c r="H57" s="4" t="s">
        <v>123</v>
      </c>
      <c r="I57" s="4"/>
      <c r="J57" s="4" t="n">
        <v>8</v>
      </c>
      <c r="K57" s="4" t="n">
        <v>0</v>
      </c>
      <c r="L57" s="5" t="n">
        <f aca="false">J57+K57</f>
        <v>8</v>
      </c>
      <c r="M57" s="4"/>
    </row>
    <row r="58" customFormat="false" ht="15" hidden="false" customHeight="false" outlineLevel="0" collapsed="false">
      <c r="A58" s="4" t="n">
        <v>57</v>
      </c>
      <c r="B58" s="4" t="s">
        <v>25</v>
      </c>
      <c r="C58" s="4" t="s">
        <v>124</v>
      </c>
      <c r="D58" s="4" t="s">
        <v>124</v>
      </c>
      <c r="E58" s="4" t="s">
        <v>27</v>
      </c>
      <c r="F58" s="4" t="n">
        <v>6500</v>
      </c>
      <c r="G58" s="4" t="n">
        <v>6500</v>
      </c>
      <c r="H58" s="4" t="s">
        <v>69</v>
      </c>
      <c r="I58" s="4" t="s">
        <v>49</v>
      </c>
      <c r="J58" s="4" t="n">
        <v>1</v>
      </c>
      <c r="K58" s="4" t="n">
        <v>2</v>
      </c>
      <c r="L58" s="5" t="n">
        <f aca="false">J58+K58</f>
        <v>3</v>
      </c>
      <c r="M58" s="4"/>
    </row>
    <row r="59" customFormat="false" ht="15" hidden="false" customHeight="false" outlineLevel="0" collapsed="false">
      <c r="A59" s="4" t="n">
        <v>58</v>
      </c>
      <c r="B59" s="4" t="s">
        <v>25</v>
      </c>
      <c r="C59" s="4" t="s">
        <v>125</v>
      </c>
      <c r="D59" s="4" t="s">
        <v>125</v>
      </c>
      <c r="E59" s="4" t="s">
        <v>27</v>
      </c>
      <c r="F59" s="4" t="n">
        <v>3000</v>
      </c>
      <c r="G59" s="4" t="n">
        <v>3000</v>
      </c>
      <c r="H59" s="4" t="s">
        <v>51</v>
      </c>
      <c r="I59" s="4"/>
      <c r="J59" s="4" t="n">
        <v>0</v>
      </c>
      <c r="K59" s="4" t="n">
        <v>0</v>
      </c>
      <c r="L59" s="5" t="n">
        <f aca="false">J59+K59</f>
        <v>0</v>
      </c>
      <c r="M59" s="4"/>
    </row>
    <row r="60" customFormat="false" ht="26.85" hidden="false" customHeight="false" outlineLevel="0" collapsed="false">
      <c r="A60" s="4" t="n">
        <v>59</v>
      </c>
      <c r="B60" s="6" t="s">
        <v>30</v>
      </c>
      <c r="C60" s="4" t="s">
        <v>126</v>
      </c>
      <c r="D60" s="6" t="s">
        <v>127</v>
      </c>
      <c r="E60" s="4" t="s">
        <v>27</v>
      </c>
      <c r="F60" s="4" t="n">
        <v>4000</v>
      </c>
      <c r="G60" s="4" t="n">
        <v>4000</v>
      </c>
      <c r="H60" s="4" t="s">
        <v>51</v>
      </c>
      <c r="I60" s="4" t="s">
        <v>82</v>
      </c>
      <c r="J60" s="4" t="n">
        <v>0</v>
      </c>
      <c r="K60" s="4" t="n">
        <v>6</v>
      </c>
      <c r="L60" s="5" t="n">
        <f aca="false">J60+K60</f>
        <v>6</v>
      </c>
      <c r="M60" s="4"/>
    </row>
    <row r="61" customFormat="false" ht="15" hidden="false" customHeight="false" outlineLevel="0" collapsed="false">
      <c r="A61" s="4" t="n">
        <v>60</v>
      </c>
      <c r="B61" s="4" t="s">
        <v>25</v>
      </c>
      <c r="C61" s="4" t="s">
        <v>128</v>
      </c>
      <c r="D61" s="4" t="s">
        <v>128</v>
      </c>
      <c r="E61" s="4" t="s">
        <v>27</v>
      </c>
      <c r="F61" s="4" t="n">
        <v>335</v>
      </c>
      <c r="G61" s="4" t="n">
        <v>335</v>
      </c>
      <c r="H61" s="4" t="s">
        <v>129</v>
      </c>
      <c r="I61" s="4"/>
      <c r="J61" s="4" t="n">
        <v>13</v>
      </c>
      <c r="K61" s="4" t="n">
        <v>0</v>
      </c>
      <c r="L61" s="5" t="n">
        <f aca="false">J61+K61</f>
        <v>13</v>
      </c>
      <c r="M61" s="4"/>
    </row>
    <row r="62" customFormat="false" ht="15" hidden="false" customHeight="false" outlineLevel="0" collapsed="false">
      <c r="A62" s="4" t="n">
        <v>61</v>
      </c>
      <c r="B62" s="4" t="s">
        <v>25</v>
      </c>
      <c r="C62" s="4" t="s">
        <v>130</v>
      </c>
      <c r="D62" s="4" t="s">
        <v>130</v>
      </c>
      <c r="E62" s="4" t="s">
        <v>27</v>
      </c>
      <c r="F62" s="4" t="n">
        <v>7500</v>
      </c>
      <c r="G62" s="4" t="n">
        <v>7500</v>
      </c>
      <c r="H62" s="4" t="s">
        <v>33</v>
      </c>
      <c r="I62" s="4" t="s">
        <v>49</v>
      </c>
      <c r="J62" s="4" t="n">
        <v>0</v>
      </c>
      <c r="K62" s="4" t="n">
        <v>2</v>
      </c>
      <c r="L62" s="5" t="n">
        <f aca="false">J62+K62</f>
        <v>2</v>
      </c>
      <c r="M62" s="4"/>
    </row>
    <row r="63" customFormat="false" ht="15" hidden="false" customHeight="false" outlineLevel="0" collapsed="false">
      <c r="A63" s="4" t="n">
        <v>62</v>
      </c>
      <c r="B63" s="4" t="s">
        <v>25</v>
      </c>
      <c r="C63" s="4" t="s">
        <v>131</v>
      </c>
      <c r="D63" s="4" t="s">
        <v>131</v>
      </c>
      <c r="E63" s="4" t="s">
        <v>27</v>
      </c>
      <c r="F63" s="4" t="n">
        <v>4000</v>
      </c>
      <c r="G63" s="4" t="n">
        <v>4000</v>
      </c>
      <c r="H63" s="4" t="s">
        <v>49</v>
      </c>
      <c r="I63" s="4"/>
      <c r="J63" s="4" t="n">
        <v>2</v>
      </c>
      <c r="K63" s="4" t="n">
        <v>0</v>
      </c>
      <c r="L63" s="5" t="n">
        <f aca="false">J63+K63</f>
        <v>2</v>
      </c>
      <c r="M63" s="4"/>
    </row>
    <row r="64" customFormat="false" ht="15" hidden="false" customHeight="false" outlineLevel="0" collapsed="false">
      <c r="A64" s="4" t="n">
        <v>63</v>
      </c>
      <c r="B64" s="4" t="s">
        <v>25</v>
      </c>
      <c r="C64" s="4" t="s">
        <v>132</v>
      </c>
      <c r="D64" s="4" t="s">
        <v>132</v>
      </c>
      <c r="E64" s="4" t="s">
        <v>27</v>
      </c>
      <c r="F64" s="4" t="n">
        <v>1500</v>
      </c>
      <c r="G64" s="4" t="n">
        <v>1500</v>
      </c>
      <c r="H64" s="4" t="s">
        <v>111</v>
      </c>
      <c r="I64" s="4"/>
      <c r="J64" s="4" t="n">
        <v>4</v>
      </c>
      <c r="K64" s="4" t="n">
        <v>0</v>
      </c>
      <c r="L64" s="5" t="n">
        <f aca="false">J64+K64</f>
        <v>4</v>
      </c>
      <c r="M64" s="4"/>
    </row>
    <row r="65" customFormat="false" ht="26.85" hidden="false" customHeight="false" outlineLevel="0" collapsed="false">
      <c r="A65" s="4" t="n">
        <v>64</v>
      </c>
      <c r="B65" s="6" t="s">
        <v>30</v>
      </c>
      <c r="C65" s="4" t="s">
        <v>133</v>
      </c>
      <c r="D65" s="6" t="s">
        <v>134</v>
      </c>
      <c r="E65" s="4" t="s">
        <v>27</v>
      </c>
      <c r="F65" s="4" t="n">
        <v>2500</v>
      </c>
      <c r="G65" s="4" t="n">
        <v>2500</v>
      </c>
      <c r="H65" s="4" t="s">
        <v>88</v>
      </c>
      <c r="I65" s="4"/>
      <c r="J65" s="4" t="n">
        <v>3</v>
      </c>
      <c r="K65" s="4" t="n">
        <v>0</v>
      </c>
      <c r="L65" s="5" t="n">
        <f aca="false">J65+K65</f>
        <v>3</v>
      </c>
      <c r="M65" s="4"/>
    </row>
    <row r="66" customFormat="false" ht="15" hidden="false" customHeight="false" outlineLevel="0" collapsed="false">
      <c r="A66" s="4" t="n">
        <v>65</v>
      </c>
      <c r="B66" s="4" t="s">
        <v>25</v>
      </c>
      <c r="C66" s="4" t="s">
        <v>135</v>
      </c>
      <c r="D66" s="4" t="s">
        <v>135</v>
      </c>
      <c r="E66" s="4" t="s">
        <v>27</v>
      </c>
      <c r="F66" s="4" t="n">
        <v>6500</v>
      </c>
      <c r="G66" s="4" t="n">
        <v>6500</v>
      </c>
      <c r="H66" s="4" t="s">
        <v>38</v>
      </c>
      <c r="I66" s="4"/>
      <c r="J66" s="4" t="n">
        <v>0</v>
      </c>
      <c r="K66" s="4" t="n">
        <v>0</v>
      </c>
      <c r="L66" s="5" t="n">
        <f aca="false">J66+K66</f>
        <v>0</v>
      </c>
      <c r="M66" s="4" t="s">
        <v>39</v>
      </c>
    </row>
    <row r="67" customFormat="false" ht="15" hidden="false" customHeight="false" outlineLevel="0" collapsed="false">
      <c r="A67" s="4" t="n">
        <v>66</v>
      </c>
      <c r="B67" s="4" t="s">
        <v>25</v>
      </c>
      <c r="C67" s="4" t="s">
        <v>136</v>
      </c>
      <c r="D67" s="4" t="s">
        <v>136</v>
      </c>
      <c r="E67" s="4" t="s">
        <v>27</v>
      </c>
      <c r="F67" s="4" t="n">
        <v>2500</v>
      </c>
      <c r="G67" s="4" t="n">
        <v>2500</v>
      </c>
      <c r="H67" s="4" t="s">
        <v>38</v>
      </c>
      <c r="I67" s="4"/>
      <c r="J67" s="4" t="n">
        <v>0</v>
      </c>
      <c r="K67" s="4" t="n">
        <v>0</v>
      </c>
      <c r="L67" s="5" t="n">
        <f aca="false">J67+K67</f>
        <v>0</v>
      </c>
      <c r="M67" s="4" t="s">
        <v>39</v>
      </c>
    </row>
    <row r="68" customFormat="false" ht="15" hidden="false" customHeight="false" outlineLevel="0" collapsed="false">
      <c r="A68" s="4" t="n">
        <v>67</v>
      </c>
      <c r="B68" s="4" t="s">
        <v>25</v>
      </c>
      <c r="C68" s="4" t="s">
        <v>137</v>
      </c>
      <c r="D68" s="4" t="s">
        <v>137</v>
      </c>
      <c r="E68" s="4" t="s">
        <v>27</v>
      </c>
      <c r="F68" s="4" t="n">
        <v>1500</v>
      </c>
      <c r="G68" s="4" t="n">
        <v>1500</v>
      </c>
      <c r="H68" s="4" t="s">
        <v>69</v>
      </c>
      <c r="I68" s="4"/>
      <c r="J68" s="4" t="n">
        <v>1</v>
      </c>
      <c r="K68" s="4" t="n">
        <v>0</v>
      </c>
      <c r="L68" s="5" t="n">
        <f aca="false">J68+K68</f>
        <v>1</v>
      </c>
      <c r="M68" s="4"/>
    </row>
    <row r="69" customFormat="false" ht="15" hidden="false" customHeight="false" outlineLevel="0" collapsed="false">
      <c r="A69" s="4" t="n">
        <v>68</v>
      </c>
      <c r="B69" s="4" t="s">
        <v>25</v>
      </c>
      <c r="C69" s="4" t="s">
        <v>138</v>
      </c>
      <c r="D69" s="4" t="s">
        <v>138</v>
      </c>
      <c r="E69" s="4" t="s">
        <v>27</v>
      </c>
      <c r="F69" s="4" t="n">
        <v>1666</v>
      </c>
      <c r="G69" s="4" t="n">
        <v>1666</v>
      </c>
      <c r="H69" s="4" t="s">
        <v>107</v>
      </c>
      <c r="I69" s="4"/>
      <c r="J69" s="4" t="n">
        <v>11</v>
      </c>
      <c r="K69" s="4" t="n">
        <v>0</v>
      </c>
      <c r="L69" s="5" t="n">
        <f aca="false">J69+K69</f>
        <v>11</v>
      </c>
      <c r="M69" s="4"/>
    </row>
    <row r="70" customFormat="false" ht="15" hidden="false" customHeight="false" outlineLevel="0" collapsed="false">
      <c r="A70" s="4" t="n">
        <v>69</v>
      </c>
      <c r="B70" s="4" t="s">
        <v>25</v>
      </c>
      <c r="C70" s="4" t="s">
        <v>139</v>
      </c>
      <c r="D70" s="4" t="s">
        <v>139</v>
      </c>
      <c r="E70" s="4" t="s">
        <v>27</v>
      </c>
      <c r="F70" s="4" t="n">
        <v>3500</v>
      </c>
      <c r="G70" s="4" t="n">
        <v>4000</v>
      </c>
      <c r="H70" s="4" t="s">
        <v>123</v>
      </c>
      <c r="I70" s="4"/>
      <c r="J70" s="4" t="n">
        <v>8</v>
      </c>
      <c r="K70" s="4" t="n">
        <v>0</v>
      </c>
      <c r="L70" s="5" t="n">
        <f aca="false">J70+K70</f>
        <v>8</v>
      </c>
      <c r="M70" s="4" t="s">
        <v>140</v>
      </c>
    </row>
    <row r="71" customFormat="false" ht="15" hidden="false" customHeight="false" outlineLevel="0" collapsed="false">
      <c r="A71" s="4" t="n">
        <v>70</v>
      </c>
      <c r="B71" s="4" t="s">
        <v>25</v>
      </c>
      <c r="C71" s="4" t="s">
        <v>141</v>
      </c>
      <c r="D71" s="4" t="s">
        <v>141</v>
      </c>
      <c r="E71" s="4" t="s">
        <v>27</v>
      </c>
      <c r="F71" s="4" t="n">
        <v>3500</v>
      </c>
      <c r="G71" s="4" t="n">
        <v>3500</v>
      </c>
      <c r="H71" s="4" t="s">
        <v>49</v>
      </c>
      <c r="I71" s="4"/>
      <c r="J71" s="4" t="n">
        <v>2</v>
      </c>
      <c r="K71" s="4" t="n">
        <v>0</v>
      </c>
      <c r="L71" s="5" t="n">
        <f aca="false">J71+K71</f>
        <v>2</v>
      </c>
      <c r="M71" s="4"/>
    </row>
    <row r="72" customFormat="false" ht="15" hidden="false" customHeight="false" outlineLevel="0" collapsed="false">
      <c r="A72" s="4" t="n">
        <v>71</v>
      </c>
      <c r="B72" s="4" t="s">
        <v>25</v>
      </c>
      <c r="C72" s="4" t="s">
        <v>142</v>
      </c>
      <c r="D72" s="4" t="s">
        <v>142</v>
      </c>
      <c r="E72" s="4" t="s">
        <v>27</v>
      </c>
      <c r="F72" s="4" t="n">
        <v>1335</v>
      </c>
      <c r="G72" s="4" t="n">
        <v>1500</v>
      </c>
      <c r="H72" s="4" t="s">
        <v>143</v>
      </c>
      <c r="I72" s="4"/>
      <c r="J72" s="4" t="n">
        <v>19</v>
      </c>
      <c r="K72" s="4" t="n">
        <v>0</v>
      </c>
      <c r="L72" s="5" t="n">
        <f aca="false">J72+K72</f>
        <v>19</v>
      </c>
      <c r="M72" s="4" t="s">
        <v>144</v>
      </c>
    </row>
    <row r="73" customFormat="false" ht="15" hidden="false" customHeight="false" outlineLevel="0" collapsed="false">
      <c r="A73" s="4" t="n">
        <v>72</v>
      </c>
      <c r="B73" s="4" t="s">
        <v>25</v>
      </c>
      <c r="C73" s="4" t="s">
        <v>145</v>
      </c>
      <c r="D73" s="4" t="s">
        <v>145</v>
      </c>
      <c r="E73" s="4" t="s">
        <v>27</v>
      </c>
      <c r="F73" s="4" t="n">
        <v>1000</v>
      </c>
      <c r="G73" s="4" t="n">
        <v>1000</v>
      </c>
      <c r="H73" s="4"/>
      <c r="I73" s="4" t="s">
        <v>146</v>
      </c>
      <c r="J73" s="4" t="n">
        <v>0</v>
      </c>
      <c r="K73" s="4" t="n">
        <v>18</v>
      </c>
      <c r="L73" s="5" t="n">
        <f aca="false">J73+K73</f>
        <v>18</v>
      </c>
      <c r="M73" s="4"/>
    </row>
    <row r="74" customFormat="false" ht="15" hidden="false" customHeight="false" outlineLevel="0" collapsed="false">
      <c r="A74" s="4" t="n">
        <v>73</v>
      </c>
      <c r="B74" s="4" t="s">
        <v>25</v>
      </c>
      <c r="C74" s="4" t="s">
        <v>147</v>
      </c>
      <c r="D74" s="4" t="s">
        <v>147</v>
      </c>
      <c r="E74" s="4" t="s">
        <v>27</v>
      </c>
      <c r="F74" s="4" t="n">
        <v>933</v>
      </c>
      <c r="G74" s="4" t="n">
        <v>1000</v>
      </c>
      <c r="H74" s="4" t="s">
        <v>148</v>
      </c>
      <c r="I74" s="4" t="s">
        <v>149</v>
      </c>
      <c r="J74" s="4" t="n">
        <v>21</v>
      </c>
      <c r="K74" s="4" t="n">
        <v>10</v>
      </c>
      <c r="L74" s="5" t="n">
        <f aca="false">J74+K74</f>
        <v>31</v>
      </c>
      <c r="M74" s="4" t="s">
        <v>150</v>
      </c>
    </row>
    <row r="75" customFormat="false" ht="15" hidden="false" customHeight="false" outlineLevel="0" collapsed="false">
      <c r="A75" s="4" t="n">
        <v>74</v>
      </c>
      <c r="B75" s="4" t="s">
        <v>25</v>
      </c>
      <c r="C75" s="4" t="s">
        <v>151</v>
      </c>
      <c r="D75" s="4" t="s">
        <v>151</v>
      </c>
      <c r="E75" s="4" t="s">
        <v>27</v>
      </c>
      <c r="F75" s="4" t="n">
        <v>3800</v>
      </c>
      <c r="G75" s="4" t="n">
        <v>3800</v>
      </c>
      <c r="H75" s="4" t="s">
        <v>49</v>
      </c>
      <c r="I75" s="4"/>
      <c r="J75" s="4" t="n">
        <v>2</v>
      </c>
      <c r="K75" s="4" t="n">
        <v>0</v>
      </c>
      <c r="L75" s="5" t="n">
        <f aca="false">J75+K75</f>
        <v>2</v>
      </c>
      <c r="M75" s="4"/>
    </row>
    <row r="76" customFormat="false" ht="15" hidden="false" customHeight="false" outlineLevel="0" collapsed="false">
      <c r="A76" s="4" t="n">
        <v>75</v>
      </c>
      <c r="B76" s="4" t="s">
        <v>25</v>
      </c>
      <c r="C76" s="4" t="s">
        <v>152</v>
      </c>
      <c r="D76" s="4" t="s">
        <v>152</v>
      </c>
      <c r="E76" s="4" t="s">
        <v>27</v>
      </c>
      <c r="F76" s="4" t="n">
        <v>2500</v>
      </c>
      <c r="G76" s="4" t="n">
        <v>2500</v>
      </c>
      <c r="H76" s="4" t="s">
        <v>49</v>
      </c>
      <c r="I76" s="4"/>
      <c r="J76" s="4" t="n">
        <v>2</v>
      </c>
      <c r="K76" s="4" t="n">
        <v>0</v>
      </c>
      <c r="L76" s="5" t="n">
        <f aca="false">J76+K76</f>
        <v>2</v>
      </c>
      <c r="M76" s="4"/>
    </row>
    <row r="77" customFormat="false" ht="15" hidden="false" customHeight="false" outlineLevel="0" collapsed="false">
      <c r="A77" s="4" t="n">
        <v>76</v>
      </c>
      <c r="B77" s="4" t="s">
        <v>25</v>
      </c>
      <c r="C77" s="4" t="s">
        <v>153</v>
      </c>
      <c r="D77" s="4" t="s">
        <v>153</v>
      </c>
      <c r="E77" s="4" t="s">
        <v>27</v>
      </c>
      <c r="F77" s="4" t="n">
        <v>6000</v>
      </c>
      <c r="G77" s="4" t="n">
        <v>6000</v>
      </c>
      <c r="H77" s="4" t="s">
        <v>38</v>
      </c>
      <c r="I77" s="4"/>
      <c r="J77" s="4" t="n">
        <v>0</v>
      </c>
      <c r="K77" s="4" t="n">
        <v>0</v>
      </c>
      <c r="L77" s="5" t="n">
        <f aca="false">J77+K77</f>
        <v>0</v>
      </c>
      <c r="M77" s="4" t="s">
        <v>39</v>
      </c>
    </row>
    <row r="78" customFormat="false" ht="15" hidden="false" customHeight="false" outlineLevel="0" collapsed="false">
      <c r="A78" s="4" t="n">
        <v>77</v>
      </c>
      <c r="B78" s="4" t="s">
        <v>25</v>
      </c>
      <c r="C78" s="4" t="s">
        <v>154</v>
      </c>
      <c r="D78" s="4" t="s">
        <v>154</v>
      </c>
      <c r="E78" s="4" t="s">
        <v>27</v>
      </c>
      <c r="F78" s="4" t="n">
        <v>2000</v>
      </c>
      <c r="G78" s="4" t="n">
        <v>2000</v>
      </c>
      <c r="H78" s="4" t="s">
        <v>38</v>
      </c>
      <c r="I78" s="4"/>
      <c r="J78" s="4" t="n">
        <v>0</v>
      </c>
      <c r="K78" s="4" t="n">
        <v>0</v>
      </c>
      <c r="L78" s="5" t="n">
        <f aca="false">J78+K78</f>
        <v>0</v>
      </c>
      <c r="M78" s="4" t="s">
        <v>39</v>
      </c>
    </row>
    <row r="79" customFormat="false" ht="15" hidden="false" customHeight="false" outlineLevel="0" collapsed="false">
      <c r="A79" s="4" t="n">
        <v>78</v>
      </c>
      <c r="B79" s="4" t="s">
        <v>25</v>
      </c>
      <c r="C79" s="4" t="s">
        <v>155</v>
      </c>
      <c r="D79" s="4" t="s">
        <v>155</v>
      </c>
      <c r="E79" s="4" t="s">
        <v>27</v>
      </c>
      <c r="F79" s="4" t="n">
        <v>4000</v>
      </c>
      <c r="G79" s="4" t="n">
        <v>4000</v>
      </c>
      <c r="H79" s="4" t="s">
        <v>38</v>
      </c>
      <c r="I79" s="4"/>
      <c r="J79" s="4" t="n">
        <v>0</v>
      </c>
      <c r="K79" s="4" t="n">
        <v>0</v>
      </c>
      <c r="L79" s="5" t="n">
        <f aca="false">J79+K79</f>
        <v>0</v>
      </c>
      <c r="M79" s="4" t="s">
        <v>39</v>
      </c>
    </row>
    <row r="80" customFormat="false" ht="15" hidden="false" customHeight="false" outlineLevel="0" collapsed="false">
      <c r="A80" s="4" t="n">
        <v>79</v>
      </c>
      <c r="B80" s="4" t="s">
        <v>25</v>
      </c>
      <c r="C80" s="4" t="s">
        <v>156</v>
      </c>
      <c r="D80" s="4" t="s">
        <v>156</v>
      </c>
      <c r="E80" s="4" t="s">
        <v>27</v>
      </c>
      <c r="F80" s="4" t="n">
        <v>4000</v>
      </c>
      <c r="G80" s="4" t="n">
        <v>4000</v>
      </c>
      <c r="H80" s="4" t="s">
        <v>33</v>
      </c>
      <c r="I80" s="4"/>
      <c r="J80" s="4" t="n">
        <v>0</v>
      </c>
      <c r="K80" s="4" t="n">
        <v>0</v>
      </c>
      <c r="L80" s="5" t="n">
        <f aca="false">J80+K80</f>
        <v>0</v>
      </c>
      <c r="M80" s="4"/>
    </row>
    <row r="81" customFormat="false" ht="15" hidden="false" customHeight="false" outlineLevel="0" collapsed="false">
      <c r="A81" s="4" t="n">
        <v>80</v>
      </c>
      <c r="B81" s="4" t="s">
        <v>25</v>
      </c>
      <c r="C81" s="4" t="s">
        <v>157</v>
      </c>
      <c r="D81" s="4" t="s">
        <v>157</v>
      </c>
      <c r="E81" s="4" t="s">
        <v>27</v>
      </c>
      <c r="F81" s="4" t="n">
        <v>935</v>
      </c>
      <c r="G81" s="4" t="n">
        <v>1000</v>
      </c>
      <c r="H81" s="4" t="s">
        <v>158</v>
      </c>
      <c r="I81" s="4"/>
      <c r="J81" s="4" t="n">
        <v>89</v>
      </c>
      <c r="K81" s="4" t="n">
        <v>0</v>
      </c>
      <c r="L81" s="5" t="n">
        <f aca="false">J81+K81</f>
        <v>89</v>
      </c>
      <c r="M81" s="4" t="s">
        <v>159</v>
      </c>
    </row>
    <row r="82" customFormat="false" ht="15" hidden="false" customHeight="false" outlineLevel="0" collapsed="false">
      <c r="A82" s="4" t="n">
        <v>81</v>
      </c>
      <c r="B82" s="4" t="s">
        <v>25</v>
      </c>
      <c r="C82" s="4" t="s">
        <v>160</v>
      </c>
      <c r="D82" s="4" t="s">
        <v>160</v>
      </c>
      <c r="E82" s="4" t="s">
        <v>27</v>
      </c>
      <c r="F82" s="4" t="n">
        <v>1500</v>
      </c>
      <c r="G82" s="4" t="n">
        <v>1800</v>
      </c>
      <c r="H82" s="4" t="s">
        <v>69</v>
      </c>
      <c r="I82" s="4"/>
      <c r="J82" s="4" t="n">
        <v>1</v>
      </c>
      <c r="K82" s="4" t="n">
        <v>0</v>
      </c>
      <c r="L82" s="5" t="n">
        <f aca="false">J82+K82</f>
        <v>1</v>
      </c>
      <c r="M82" s="4" t="s">
        <v>161</v>
      </c>
    </row>
    <row r="83" customFormat="false" ht="15" hidden="false" customHeight="false" outlineLevel="0" collapsed="false">
      <c r="A83" s="4" t="n">
        <v>82</v>
      </c>
      <c r="B83" s="4" t="s">
        <v>25</v>
      </c>
      <c r="C83" s="4" t="s">
        <v>162</v>
      </c>
      <c r="D83" s="4" t="s">
        <v>162</v>
      </c>
      <c r="E83" s="4" t="s">
        <v>27</v>
      </c>
      <c r="F83" s="4" t="n">
        <v>3500</v>
      </c>
      <c r="G83" s="4" t="n">
        <v>3500</v>
      </c>
      <c r="H83" s="4" t="s">
        <v>33</v>
      </c>
      <c r="I83" s="4"/>
      <c r="J83" s="4" t="n">
        <v>0</v>
      </c>
      <c r="K83" s="4" t="n">
        <v>0</v>
      </c>
      <c r="L83" s="5" t="n">
        <f aca="false">J83+K83</f>
        <v>0</v>
      </c>
      <c r="M83" s="4"/>
    </row>
    <row r="84" customFormat="false" ht="15" hidden="false" customHeight="false" outlineLevel="0" collapsed="false">
      <c r="A84" s="4" t="n">
        <v>83</v>
      </c>
      <c r="B84" s="4" t="s">
        <v>25</v>
      </c>
      <c r="C84" s="4" t="s">
        <v>163</v>
      </c>
      <c r="D84" s="4" t="s">
        <v>163</v>
      </c>
      <c r="E84" s="4" t="s">
        <v>27</v>
      </c>
      <c r="F84" s="4" t="n">
        <v>2500</v>
      </c>
      <c r="G84" s="4" t="n">
        <v>2500</v>
      </c>
      <c r="H84" s="4" t="s">
        <v>51</v>
      </c>
      <c r="I84" s="4"/>
      <c r="J84" s="4" t="n">
        <v>0</v>
      </c>
      <c r="K84" s="4" t="n">
        <v>0</v>
      </c>
      <c r="L84" s="5" t="n">
        <f aca="false">J84+K84</f>
        <v>0</v>
      </c>
      <c r="M84" s="4"/>
    </row>
    <row r="85" customFormat="false" ht="15" hidden="false" customHeight="false" outlineLevel="0" collapsed="false">
      <c r="A85" s="4" t="n">
        <v>84</v>
      </c>
      <c r="B85" s="4" t="s">
        <v>25</v>
      </c>
      <c r="C85" s="4" t="s">
        <v>164</v>
      </c>
      <c r="D85" s="4" t="s">
        <v>164</v>
      </c>
      <c r="E85" s="4" t="s">
        <v>27</v>
      </c>
      <c r="F85" s="4" t="n">
        <v>1670</v>
      </c>
      <c r="G85" s="4" t="n">
        <v>1670</v>
      </c>
      <c r="H85" s="4" t="s">
        <v>51</v>
      </c>
      <c r="I85" s="4"/>
      <c r="J85" s="4" t="n">
        <v>0</v>
      </c>
      <c r="K85" s="4" t="n">
        <v>0</v>
      </c>
      <c r="L85" s="5" t="n">
        <f aca="false">J85+K85</f>
        <v>0</v>
      </c>
      <c r="M85" s="4"/>
    </row>
    <row r="86" customFormat="false" ht="15" hidden="false" customHeight="false" outlineLevel="0" collapsed="false">
      <c r="A86" s="4" t="n">
        <v>85</v>
      </c>
      <c r="B86" s="4" t="s">
        <v>25</v>
      </c>
      <c r="C86" s="4" t="s">
        <v>165</v>
      </c>
      <c r="D86" s="4" t="s">
        <v>165</v>
      </c>
      <c r="E86" s="4" t="s">
        <v>27</v>
      </c>
      <c r="F86" s="4" t="n">
        <v>3500</v>
      </c>
      <c r="G86" s="4" t="n">
        <v>3500</v>
      </c>
      <c r="H86" s="4" t="s">
        <v>51</v>
      </c>
      <c r="I86" s="4"/>
      <c r="J86" s="4" t="n">
        <v>0</v>
      </c>
      <c r="K86" s="4" t="n">
        <v>0</v>
      </c>
      <c r="L86" s="5" t="n">
        <f aca="false">J86+K86</f>
        <v>0</v>
      </c>
      <c r="M86" s="4"/>
    </row>
    <row r="87" customFormat="false" ht="15" hidden="false" customHeight="false" outlineLevel="0" collapsed="false">
      <c r="A87" s="4" t="n">
        <v>86</v>
      </c>
      <c r="B87" s="4" t="s">
        <v>25</v>
      </c>
      <c r="C87" s="4" t="s">
        <v>166</v>
      </c>
      <c r="D87" s="4" t="s">
        <v>166</v>
      </c>
      <c r="E87" s="4" t="s">
        <v>27</v>
      </c>
      <c r="F87" s="4" t="n">
        <v>1670</v>
      </c>
      <c r="G87" s="4" t="n">
        <v>2000</v>
      </c>
      <c r="H87" s="4" t="s">
        <v>88</v>
      </c>
      <c r="I87" s="4"/>
      <c r="J87" s="4" t="n">
        <v>3</v>
      </c>
      <c r="K87" s="4" t="n">
        <v>0</v>
      </c>
      <c r="L87" s="5" t="n">
        <f aca="false">J87+K87</f>
        <v>3</v>
      </c>
      <c r="M87" s="4" t="s">
        <v>45</v>
      </c>
    </row>
    <row r="88" customFormat="false" ht="15" hidden="false" customHeight="false" outlineLevel="0" collapsed="false">
      <c r="A88" s="4" t="n">
        <v>87</v>
      </c>
      <c r="B88" s="4" t="s">
        <v>25</v>
      </c>
      <c r="C88" s="4" t="s">
        <v>167</v>
      </c>
      <c r="D88" s="4" t="s">
        <v>167</v>
      </c>
      <c r="E88" s="4" t="s">
        <v>27</v>
      </c>
      <c r="F88" s="4" t="n">
        <v>2200</v>
      </c>
      <c r="G88" s="4" t="n">
        <v>2200</v>
      </c>
      <c r="H88" s="4" t="s">
        <v>51</v>
      </c>
      <c r="I88" s="4"/>
      <c r="J88" s="4" t="n">
        <v>0</v>
      </c>
      <c r="K88" s="4" t="n">
        <v>0</v>
      </c>
      <c r="L88" s="5" t="n">
        <f aca="false">J88+K88</f>
        <v>0</v>
      </c>
      <c r="M88" s="4"/>
    </row>
    <row r="89" customFormat="false" ht="15" hidden="false" customHeight="false" outlineLevel="0" collapsed="false">
      <c r="A89" s="4" t="n">
        <v>88</v>
      </c>
      <c r="B89" s="4" t="s">
        <v>25</v>
      </c>
      <c r="C89" s="4" t="s">
        <v>168</v>
      </c>
      <c r="D89" s="4" t="s">
        <v>168</v>
      </c>
      <c r="E89" s="4" t="s">
        <v>27</v>
      </c>
      <c r="F89" s="4" t="n">
        <v>3500</v>
      </c>
      <c r="G89" s="4" t="n">
        <v>3500</v>
      </c>
      <c r="H89" s="4" t="s">
        <v>49</v>
      </c>
      <c r="I89" s="4"/>
      <c r="J89" s="4" t="n">
        <v>2</v>
      </c>
      <c r="K89" s="4" t="n">
        <v>0</v>
      </c>
      <c r="L89" s="5" t="n">
        <f aca="false">J89+K89</f>
        <v>2</v>
      </c>
      <c r="M89" s="4"/>
    </row>
    <row r="90" customFormat="false" ht="15" hidden="false" customHeight="false" outlineLevel="0" collapsed="false">
      <c r="A90" s="4" t="n">
        <v>89</v>
      </c>
      <c r="B90" s="4" t="s">
        <v>25</v>
      </c>
      <c r="C90" s="4" t="s">
        <v>169</v>
      </c>
      <c r="D90" s="4" t="s">
        <v>169</v>
      </c>
      <c r="E90" s="4" t="s">
        <v>27</v>
      </c>
      <c r="F90" s="4" t="n">
        <v>3200</v>
      </c>
      <c r="G90" s="4" t="n">
        <v>3200</v>
      </c>
      <c r="H90" s="4" t="s">
        <v>51</v>
      </c>
      <c r="I90" s="4"/>
      <c r="J90" s="4" t="n">
        <v>0</v>
      </c>
      <c r="K90" s="4" t="n">
        <v>0</v>
      </c>
      <c r="L90" s="5" t="n">
        <f aca="false">J90+K90</f>
        <v>0</v>
      </c>
      <c r="M90" s="4"/>
    </row>
    <row r="91" customFormat="false" ht="15" hidden="false" customHeight="false" outlineLevel="0" collapsed="false">
      <c r="A91" s="4" t="n">
        <v>90</v>
      </c>
      <c r="B91" s="4" t="s">
        <v>25</v>
      </c>
      <c r="C91" s="4" t="s">
        <v>170</v>
      </c>
      <c r="D91" s="4" t="s">
        <v>170</v>
      </c>
      <c r="E91" s="4" t="s">
        <v>27</v>
      </c>
      <c r="F91" s="4" t="n">
        <v>4000</v>
      </c>
      <c r="G91" s="4" t="n">
        <v>4000</v>
      </c>
      <c r="H91" s="4" t="s">
        <v>69</v>
      </c>
      <c r="I91" s="4"/>
      <c r="J91" s="4" t="n">
        <v>1</v>
      </c>
      <c r="K91" s="4" t="n">
        <v>0</v>
      </c>
      <c r="L91" s="5" t="n">
        <f aca="false">J91+K91</f>
        <v>1</v>
      </c>
      <c r="M91" s="4"/>
    </row>
    <row r="92" customFormat="false" ht="15" hidden="false" customHeight="false" outlineLevel="0" collapsed="false">
      <c r="A92" s="4" t="n">
        <v>91</v>
      </c>
      <c r="B92" s="4" t="s">
        <v>25</v>
      </c>
      <c r="C92" s="4" t="s">
        <v>171</v>
      </c>
      <c r="D92" s="4" t="s">
        <v>171</v>
      </c>
      <c r="E92" s="4" t="s">
        <v>27</v>
      </c>
      <c r="F92" s="4" t="n">
        <v>5500</v>
      </c>
      <c r="G92" s="4" t="n">
        <v>5500</v>
      </c>
      <c r="H92" s="4" t="s">
        <v>69</v>
      </c>
      <c r="I92" s="4"/>
      <c r="J92" s="4" t="n">
        <v>1</v>
      </c>
      <c r="K92" s="4" t="n">
        <v>0</v>
      </c>
      <c r="L92" s="5" t="n">
        <f aca="false">J92+K92</f>
        <v>1</v>
      </c>
      <c r="M92" s="4"/>
    </row>
    <row r="93" customFormat="false" ht="15" hidden="false" customHeight="false" outlineLevel="0" collapsed="false">
      <c r="A93" s="4" t="n">
        <v>92</v>
      </c>
      <c r="B93" s="4" t="s">
        <v>25</v>
      </c>
      <c r="C93" s="4" t="s">
        <v>172</v>
      </c>
      <c r="D93" s="4" t="s">
        <v>172</v>
      </c>
      <c r="E93" s="4" t="s">
        <v>27</v>
      </c>
      <c r="F93" s="4" t="n">
        <v>2200</v>
      </c>
      <c r="G93" s="4" t="n">
        <v>2000</v>
      </c>
      <c r="H93" s="4" t="s">
        <v>34</v>
      </c>
      <c r="I93" s="4"/>
      <c r="J93" s="4" t="n">
        <v>12</v>
      </c>
      <c r="K93" s="4" t="n">
        <v>0</v>
      </c>
      <c r="L93" s="5" t="n">
        <f aca="false">J93+K93</f>
        <v>12</v>
      </c>
      <c r="M93" s="4" t="s">
        <v>173</v>
      </c>
    </row>
    <row r="94" customFormat="false" ht="15" hidden="false" customHeight="false" outlineLevel="0" collapsed="false">
      <c r="A94" s="4" t="n">
        <v>93</v>
      </c>
      <c r="B94" s="4" t="s">
        <v>25</v>
      </c>
      <c r="C94" s="4" t="s">
        <v>174</v>
      </c>
      <c r="D94" s="4" t="s">
        <v>174</v>
      </c>
      <c r="E94" s="4" t="s">
        <v>27</v>
      </c>
      <c r="F94" s="4" t="n">
        <v>1835</v>
      </c>
      <c r="G94" s="4" t="n">
        <v>2000</v>
      </c>
      <c r="H94" s="4" t="s">
        <v>148</v>
      </c>
      <c r="I94" s="4"/>
      <c r="J94" s="4" t="n">
        <v>21</v>
      </c>
      <c r="K94" s="4" t="n">
        <v>0</v>
      </c>
      <c r="L94" s="5" t="n">
        <f aca="false">J94+K94</f>
        <v>21</v>
      </c>
      <c r="M94" s="4" t="s">
        <v>175</v>
      </c>
    </row>
    <row r="95" customFormat="false" ht="15" hidden="false" customHeight="false" outlineLevel="0" collapsed="false">
      <c r="A95" s="4" t="n">
        <v>94</v>
      </c>
      <c r="B95" s="4" t="s">
        <v>25</v>
      </c>
      <c r="C95" s="4" t="s">
        <v>176</v>
      </c>
      <c r="D95" s="4" t="s">
        <v>176</v>
      </c>
      <c r="E95" s="4" t="s">
        <v>27</v>
      </c>
      <c r="F95" s="4" t="n">
        <v>5000</v>
      </c>
      <c r="G95" s="4" t="n">
        <v>5000</v>
      </c>
      <c r="H95" s="4" t="s">
        <v>69</v>
      </c>
      <c r="I95" s="4"/>
      <c r="J95" s="4" t="n">
        <v>1</v>
      </c>
      <c r="K95" s="4" t="n">
        <v>0</v>
      </c>
      <c r="L95" s="5" t="n">
        <f aca="false">J95+K95</f>
        <v>1</v>
      </c>
      <c r="M95" s="4"/>
    </row>
    <row r="96" customFormat="false" ht="15" hidden="false" customHeight="false" outlineLevel="0" collapsed="false">
      <c r="A96" s="4" t="n">
        <v>95</v>
      </c>
      <c r="B96" s="4" t="s">
        <v>25</v>
      </c>
      <c r="C96" s="4" t="s">
        <v>177</v>
      </c>
      <c r="D96" s="4" t="s">
        <v>177</v>
      </c>
      <c r="E96" s="4" t="s">
        <v>27</v>
      </c>
      <c r="F96" s="4" t="n">
        <v>3000</v>
      </c>
      <c r="G96" s="4" t="n">
        <v>3000</v>
      </c>
      <c r="H96" s="4" t="s">
        <v>69</v>
      </c>
      <c r="I96" s="4"/>
      <c r="J96" s="4" t="n">
        <v>1</v>
      </c>
      <c r="K96" s="4" t="n">
        <v>0</v>
      </c>
      <c r="L96" s="5" t="n">
        <f aca="false">J96+K96</f>
        <v>1</v>
      </c>
      <c r="M96" s="4"/>
    </row>
    <row r="97" customFormat="false" ht="15" hidden="false" customHeight="false" outlineLevel="0" collapsed="false">
      <c r="A97" s="4" t="n">
        <v>96</v>
      </c>
      <c r="B97" s="4" t="s">
        <v>25</v>
      </c>
      <c r="C97" s="4" t="s">
        <v>178</v>
      </c>
      <c r="D97" s="4" t="s">
        <v>178</v>
      </c>
      <c r="E97" s="4" t="s">
        <v>27</v>
      </c>
      <c r="F97" s="4" t="n">
        <v>1500</v>
      </c>
      <c r="G97" s="4" t="n">
        <v>1500</v>
      </c>
      <c r="H97" s="4" t="s">
        <v>149</v>
      </c>
      <c r="I97" s="4"/>
      <c r="J97" s="4" t="n">
        <v>10</v>
      </c>
      <c r="K97" s="4" t="n">
        <v>0</v>
      </c>
      <c r="L97" s="5" t="n">
        <f aca="false">J97+K97</f>
        <v>10</v>
      </c>
      <c r="M97" s="4"/>
    </row>
    <row r="98" customFormat="false" ht="15" hidden="false" customHeight="false" outlineLevel="0" collapsed="false">
      <c r="A98" s="4" t="n">
        <v>97</v>
      </c>
      <c r="B98" s="4" t="s">
        <v>25</v>
      </c>
      <c r="C98" s="4" t="s">
        <v>179</v>
      </c>
      <c r="D98" s="4" t="s">
        <v>179</v>
      </c>
      <c r="E98" s="4" t="s">
        <v>27</v>
      </c>
      <c r="F98" s="4" t="n">
        <v>3500</v>
      </c>
      <c r="G98" s="4" t="n">
        <v>3500</v>
      </c>
      <c r="H98" s="4" t="s">
        <v>38</v>
      </c>
      <c r="I98" s="4"/>
      <c r="J98" s="4" t="n">
        <v>0</v>
      </c>
      <c r="K98" s="4" t="n">
        <v>0</v>
      </c>
      <c r="L98" s="5" t="n">
        <f aca="false">J98+K98</f>
        <v>0</v>
      </c>
      <c r="M98" s="4" t="s">
        <v>39</v>
      </c>
    </row>
    <row r="99" customFormat="false" ht="15" hidden="false" customHeight="false" outlineLevel="0" collapsed="false">
      <c r="A99" s="4" t="n">
        <v>98</v>
      </c>
      <c r="B99" s="4" t="s">
        <v>25</v>
      </c>
      <c r="C99" s="4" t="s">
        <v>180</v>
      </c>
      <c r="D99" s="4" t="s">
        <v>180</v>
      </c>
      <c r="E99" s="4" t="s">
        <v>27</v>
      </c>
      <c r="F99" s="4"/>
      <c r="G99" s="7"/>
      <c r="H99" s="4" t="s">
        <v>38</v>
      </c>
      <c r="I99" s="4"/>
      <c r="J99" s="4" t="n">
        <v>0</v>
      </c>
      <c r="K99" s="4" t="n">
        <v>0</v>
      </c>
      <c r="L99" s="5" t="n">
        <f aca="false">J99+K99</f>
        <v>0</v>
      </c>
      <c r="M99" s="4" t="s">
        <v>39</v>
      </c>
    </row>
    <row r="100" customFormat="false" ht="15" hidden="false" customHeight="false" outlineLevel="0" collapsed="false">
      <c r="A100" s="4" t="n">
        <v>99</v>
      </c>
      <c r="B100" s="4" t="s">
        <v>25</v>
      </c>
      <c r="C100" s="4" t="s">
        <v>181</v>
      </c>
      <c r="D100" s="4" t="s">
        <v>181</v>
      </c>
      <c r="E100" s="4" t="s">
        <v>27</v>
      </c>
      <c r="F100" s="4" t="n">
        <v>4500</v>
      </c>
      <c r="G100" s="4" t="n">
        <v>4500</v>
      </c>
      <c r="H100" s="4" t="s">
        <v>88</v>
      </c>
      <c r="I100" s="4"/>
      <c r="J100" s="4" t="n">
        <v>3</v>
      </c>
      <c r="K100" s="4" t="n">
        <v>0</v>
      </c>
      <c r="L100" s="5" t="n">
        <f aca="false">J100+K100</f>
        <v>3</v>
      </c>
      <c r="M100" s="4"/>
    </row>
    <row r="101" customFormat="false" ht="15" hidden="false" customHeight="false" outlineLevel="0" collapsed="false">
      <c r="A101" s="4" t="n">
        <v>100</v>
      </c>
      <c r="B101" s="4" t="s">
        <v>25</v>
      </c>
      <c r="C101" s="4" t="s">
        <v>182</v>
      </c>
      <c r="D101" s="4" t="s">
        <v>182</v>
      </c>
      <c r="E101" s="4" t="s">
        <v>27</v>
      </c>
      <c r="F101" s="4" t="n">
        <v>2500</v>
      </c>
      <c r="G101" s="4" t="n">
        <v>2500</v>
      </c>
      <c r="H101" s="4" t="s">
        <v>49</v>
      </c>
      <c r="I101" s="4"/>
      <c r="J101" s="4" t="n">
        <v>2</v>
      </c>
      <c r="K101" s="4" t="n">
        <v>0</v>
      </c>
      <c r="L101" s="5" t="n">
        <f aca="false">J101+K101</f>
        <v>2</v>
      </c>
      <c r="M101" s="4"/>
    </row>
    <row r="102" customFormat="false" ht="15" hidden="false" customHeight="false" outlineLevel="0" collapsed="false">
      <c r="A102" s="4" t="n">
        <v>101</v>
      </c>
      <c r="B102" s="4" t="s">
        <v>25</v>
      </c>
      <c r="C102" s="4" t="s">
        <v>183</v>
      </c>
      <c r="D102" s="4" t="s">
        <v>183</v>
      </c>
      <c r="E102" s="4" t="s">
        <v>27</v>
      </c>
      <c r="F102" s="4" t="n">
        <v>4000</v>
      </c>
      <c r="G102" s="4" t="n">
        <v>4000</v>
      </c>
      <c r="H102" s="4" t="s">
        <v>38</v>
      </c>
      <c r="I102" s="4"/>
      <c r="J102" s="4" t="n">
        <v>0</v>
      </c>
      <c r="K102" s="4" t="n">
        <v>0</v>
      </c>
      <c r="L102" s="5" t="n">
        <f aca="false">J102+K102</f>
        <v>0</v>
      </c>
      <c r="M102" s="4" t="s">
        <v>39</v>
      </c>
    </row>
    <row r="103" customFormat="false" ht="15" hidden="false" customHeight="false" outlineLevel="0" collapsed="false">
      <c r="A103" s="4" t="n">
        <v>102</v>
      </c>
      <c r="B103" s="4" t="s">
        <v>25</v>
      </c>
      <c r="C103" s="4" t="s">
        <v>184</v>
      </c>
      <c r="D103" s="4" t="s">
        <v>184</v>
      </c>
      <c r="E103" s="4" t="s">
        <v>27</v>
      </c>
      <c r="F103" s="4" t="n">
        <v>3000</v>
      </c>
      <c r="G103" s="4" t="n">
        <v>3000</v>
      </c>
      <c r="H103" s="4" t="s">
        <v>38</v>
      </c>
      <c r="I103" s="4"/>
      <c r="J103" s="4" t="n">
        <v>0</v>
      </c>
      <c r="K103" s="4" t="n">
        <v>0</v>
      </c>
      <c r="L103" s="5" t="n">
        <f aca="false">J103+K103</f>
        <v>0</v>
      </c>
      <c r="M103" s="4" t="s">
        <v>39</v>
      </c>
    </row>
    <row r="104" customFormat="false" ht="15" hidden="false" customHeight="false" outlineLevel="0" collapsed="false">
      <c r="A104" s="4" t="n">
        <v>103</v>
      </c>
      <c r="B104" s="4" t="s">
        <v>25</v>
      </c>
      <c r="C104" s="4" t="s">
        <v>185</v>
      </c>
      <c r="D104" s="4" t="s">
        <v>185</v>
      </c>
      <c r="E104" s="4" t="s">
        <v>27</v>
      </c>
      <c r="F104" s="4" t="n">
        <v>4500</v>
      </c>
      <c r="G104" s="4" t="n">
        <v>4500</v>
      </c>
      <c r="H104" s="4" t="s">
        <v>88</v>
      </c>
      <c r="I104" s="4"/>
      <c r="J104" s="4" t="n">
        <v>3</v>
      </c>
      <c r="K104" s="4" t="n">
        <v>0</v>
      </c>
      <c r="L104" s="5" t="n">
        <f aca="false">J104+K104</f>
        <v>3</v>
      </c>
      <c r="M104" s="4"/>
    </row>
    <row r="105" customFormat="false" ht="15" hidden="false" customHeight="false" outlineLevel="0" collapsed="false">
      <c r="A105" s="4" t="n">
        <v>104</v>
      </c>
      <c r="B105" s="4" t="s">
        <v>25</v>
      </c>
      <c r="C105" s="4" t="s">
        <v>186</v>
      </c>
      <c r="D105" s="4" t="s">
        <v>186</v>
      </c>
      <c r="E105" s="4" t="s">
        <v>27</v>
      </c>
      <c r="F105" s="4" t="n">
        <v>1600</v>
      </c>
      <c r="G105" s="4" t="n">
        <v>1600</v>
      </c>
      <c r="H105" s="4" t="s">
        <v>123</v>
      </c>
      <c r="I105" s="4"/>
      <c r="J105" s="4" t="n">
        <v>8</v>
      </c>
      <c r="K105" s="4" t="n">
        <v>0</v>
      </c>
      <c r="L105" s="5" t="n">
        <f aca="false">J105+K105</f>
        <v>8</v>
      </c>
      <c r="M105" s="4"/>
    </row>
    <row r="106" customFormat="false" ht="15" hidden="false" customHeight="false" outlineLevel="0" collapsed="false">
      <c r="A106" s="4" t="n">
        <v>105</v>
      </c>
      <c r="B106" s="4" t="s">
        <v>25</v>
      </c>
      <c r="C106" s="4" t="s">
        <v>187</v>
      </c>
      <c r="D106" s="4" t="s">
        <v>187</v>
      </c>
      <c r="E106" s="4" t="s">
        <v>27</v>
      </c>
      <c r="F106" s="4" t="n">
        <v>3000</v>
      </c>
      <c r="G106" s="4" t="n">
        <v>3000</v>
      </c>
      <c r="H106" s="4" t="s">
        <v>38</v>
      </c>
      <c r="I106" s="4"/>
      <c r="J106" s="4" t="n">
        <v>0</v>
      </c>
      <c r="K106" s="4" t="n">
        <v>0</v>
      </c>
      <c r="L106" s="5" t="n">
        <f aca="false">J106+K106</f>
        <v>0</v>
      </c>
      <c r="M106" s="4" t="s">
        <v>39</v>
      </c>
    </row>
    <row r="107" customFormat="false" ht="15" hidden="false" customHeight="false" outlineLevel="0" collapsed="false">
      <c r="A107" s="4" t="n">
        <v>106</v>
      </c>
      <c r="B107" s="4" t="s">
        <v>25</v>
      </c>
      <c r="C107" s="4" t="s">
        <v>188</v>
      </c>
      <c r="D107" s="4" t="s">
        <v>188</v>
      </c>
      <c r="E107" s="4" t="s">
        <v>27</v>
      </c>
      <c r="F107" s="4" t="n">
        <v>2000</v>
      </c>
      <c r="G107" s="4" t="n">
        <v>2000</v>
      </c>
      <c r="H107" s="4" t="s">
        <v>38</v>
      </c>
      <c r="I107" s="4"/>
      <c r="J107" s="4" t="n">
        <v>0</v>
      </c>
      <c r="K107" s="4" t="n">
        <v>0</v>
      </c>
      <c r="L107" s="5" t="n">
        <f aca="false">J107+K107</f>
        <v>0</v>
      </c>
      <c r="M107" s="4" t="s">
        <v>39</v>
      </c>
    </row>
    <row r="108" customFormat="false" ht="15" hidden="false" customHeight="false" outlineLevel="0" collapsed="false">
      <c r="A108" s="4" t="n">
        <v>107</v>
      </c>
      <c r="B108" s="4" t="s">
        <v>25</v>
      </c>
      <c r="C108" s="4" t="s">
        <v>189</v>
      </c>
      <c r="D108" s="4" t="s">
        <v>189</v>
      </c>
      <c r="E108" s="4" t="s">
        <v>27</v>
      </c>
      <c r="F108" s="4" t="n">
        <v>3600</v>
      </c>
      <c r="G108" s="4" t="n">
        <v>3500</v>
      </c>
      <c r="H108" s="4" t="s">
        <v>49</v>
      </c>
      <c r="I108" s="4"/>
      <c r="J108" s="4" t="n">
        <v>2</v>
      </c>
      <c r="K108" s="4" t="n">
        <v>0</v>
      </c>
      <c r="L108" s="5" t="n">
        <f aca="false">J108+K108</f>
        <v>2</v>
      </c>
      <c r="M108" s="4" t="s">
        <v>190</v>
      </c>
    </row>
    <row r="109" customFormat="false" ht="15" hidden="false" customHeight="false" outlineLevel="0" collapsed="false">
      <c r="A109" s="4" t="n">
        <v>108</v>
      </c>
      <c r="B109" s="4" t="s">
        <v>25</v>
      </c>
      <c r="C109" s="4" t="s">
        <v>191</v>
      </c>
      <c r="D109" s="4" t="s">
        <v>191</v>
      </c>
      <c r="E109" s="4" t="s">
        <v>27</v>
      </c>
      <c r="F109" s="4" t="n">
        <v>1700</v>
      </c>
      <c r="G109" s="4" t="n">
        <v>1700</v>
      </c>
      <c r="H109" s="4" t="s">
        <v>38</v>
      </c>
      <c r="I109" s="4"/>
      <c r="J109" s="4" t="n">
        <v>0</v>
      </c>
      <c r="K109" s="4" t="n">
        <v>0</v>
      </c>
      <c r="L109" s="5" t="n">
        <f aca="false">J109+K109</f>
        <v>0</v>
      </c>
      <c r="M109" s="4" t="s">
        <v>39</v>
      </c>
    </row>
    <row r="110" customFormat="false" ht="15" hidden="false" customHeight="false" outlineLevel="0" collapsed="false">
      <c r="A110" s="4" t="n">
        <v>109</v>
      </c>
      <c r="B110" s="4" t="s">
        <v>25</v>
      </c>
      <c r="C110" s="4" t="s">
        <v>192</v>
      </c>
      <c r="D110" s="4" t="s">
        <v>192</v>
      </c>
      <c r="E110" s="4" t="s">
        <v>27</v>
      </c>
      <c r="F110" s="4" t="n">
        <v>3500</v>
      </c>
      <c r="G110" s="4" t="n">
        <v>3500</v>
      </c>
      <c r="H110" s="4" t="s">
        <v>38</v>
      </c>
      <c r="I110" s="4"/>
      <c r="J110" s="4" t="n">
        <v>0</v>
      </c>
      <c r="K110" s="4" t="n">
        <v>0</v>
      </c>
      <c r="L110" s="5" t="n">
        <f aca="false">J110+K110</f>
        <v>0</v>
      </c>
      <c r="M110" s="4" t="s">
        <v>39</v>
      </c>
    </row>
    <row r="111" customFormat="false" ht="15" hidden="false" customHeight="false" outlineLevel="0" collapsed="false">
      <c r="A111" s="4" t="n">
        <v>110</v>
      </c>
      <c r="B111" s="4" t="s">
        <v>25</v>
      </c>
      <c r="C111" s="4" t="s">
        <v>193</v>
      </c>
      <c r="D111" s="4" t="s">
        <v>193</v>
      </c>
      <c r="E111" s="4" t="s">
        <v>27</v>
      </c>
      <c r="F111" s="4" t="n">
        <v>1200</v>
      </c>
      <c r="G111" s="4" t="n">
        <v>1200</v>
      </c>
      <c r="H111" s="4" t="s">
        <v>38</v>
      </c>
      <c r="I111" s="4"/>
      <c r="J111" s="4" t="n">
        <v>0</v>
      </c>
      <c r="K111" s="4" t="n">
        <v>0</v>
      </c>
      <c r="L111" s="5" t="n">
        <f aca="false">J111+K111</f>
        <v>0</v>
      </c>
      <c r="M111" s="4" t="s">
        <v>39</v>
      </c>
    </row>
    <row r="112" customFormat="false" ht="15" hidden="false" customHeight="false" outlineLevel="0" collapsed="false">
      <c r="A112" s="4" t="n">
        <v>111</v>
      </c>
      <c r="B112" s="4" t="s">
        <v>25</v>
      </c>
      <c r="C112" s="4" t="s">
        <v>194</v>
      </c>
      <c r="D112" s="4" t="s">
        <v>194</v>
      </c>
      <c r="E112" s="4" t="s">
        <v>27</v>
      </c>
      <c r="F112" s="4" t="n">
        <v>1300</v>
      </c>
      <c r="G112" s="4" t="n">
        <v>1300</v>
      </c>
      <c r="H112" s="4" t="s">
        <v>38</v>
      </c>
      <c r="I112" s="4"/>
      <c r="J112" s="4" t="n">
        <v>0</v>
      </c>
      <c r="K112" s="4" t="n">
        <v>0</v>
      </c>
      <c r="L112" s="5" t="n">
        <f aca="false">J112+K112</f>
        <v>0</v>
      </c>
      <c r="M112" s="4" t="s">
        <v>39</v>
      </c>
    </row>
    <row r="113" customFormat="false" ht="15" hidden="false" customHeight="false" outlineLevel="0" collapsed="false">
      <c r="A113" s="4" t="n">
        <v>112</v>
      </c>
      <c r="B113" s="4" t="s">
        <v>25</v>
      </c>
      <c r="C113" s="4" t="s">
        <v>195</v>
      </c>
      <c r="D113" s="4" t="s">
        <v>195</v>
      </c>
      <c r="E113" s="4" t="s">
        <v>27</v>
      </c>
      <c r="F113" s="4" t="n">
        <v>1350</v>
      </c>
      <c r="G113" s="4" t="n">
        <v>1350</v>
      </c>
      <c r="H113" s="4" t="s">
        <v>111</v>
      </c>
      <c r="I113" s="4" t="s">
        <v>196</v>
      </c>
      <c r="J113" s="4" t="n">
        <v>4</v>
      </c>
      <c r="K113" s="4" t="n">
        <v>34</v>
      </c>
      <c r="L113" s="5" t="n">
        <f aca="false">J113+K113</f>
        <v>38</v>
      </c>
      <c r="M113" s="4" t="s">
        <v>197</v>
      </c>
    </row>
    <row r="114" customFormat="false" ht="15" hidden="false" customHeight="false" outlineLevel="0" collapsed="false">
      <c r="A114" s="4" t="n">
        <v>113</v>
      </c>
      <c r="B114" s="4" t="s">
        <v>25</v>
      </c>
      <c r="C114" s="4" t="s">
        <v>198</v>
      </c>
      <c r="D114" s="4" t="s">
        <v>198</v>
      </c>
      <c r="E114" s="4" t="s">
        <v>27</v>
      </c>
      <c r="F114" s="4"/>
      <c r="G114" s="7"/>
      <c r="H114" s="4" t="s">
        <v>38</v>
      </c>
      <c r="I114" s="4"/>
      <c r="J114" s="4" t="n">
        <v>0</v>
      </c>
      <c r="K114" s="4" t="n">
        <v>0</v>
      </c>
      <c r="L114" s="5" t="n">
        <f aca="false">J114+K114</f>
        <v>0</v>
      </c>
      <c r="M114" s="4" t="s">
        <v>39</v>
      </c>
    </row>
    <row r="115" customFormat="false" ht="15" hidden="false" customHeight="false" outlineLevel="0" collapsed="false">
      <c r="A115" s="4" t="n">
        <v>114</v>
      </c>
      <c r="B115" s="4" t="s">
        <v>25</v>
      </c>
      <c r="C115" s="4" t="s">
        <v>199</v>
      </c>
      <c r="D115" s="4" t="s">
        <v>199</v>
      </c>
      <c r="E115" s="4" t="s">
        <v>27</v>
      </c>
      <c r="F115" s="4" t="n">
        <v>1400</v>
      </c>
      <c r="G115" s="4" t="n">
        <v>1400</v>
      </c>
      <c r="H115" s="4" t="s">
        <v>38</v>
      </c>
      <c r="I115" s="4"/>
      <c r="J115" s="4" t="n">
        <v>0</v>
      </c>
      <c r="K115" s="4" t="n">
        <v>0</v>
      </c>
      <c r="L115" s="5" t="n">
        <f aca="false">J115+K115</f>
        <v>0</v>
      </c>
      <c r="M115" s="4" t="s">
        <v>39</v>
      </c>
    </row>
    <row r="116" customFormat="false" ht="15" hidden="false" customHeight="false" outlineLevel="0" collapsed="false">
      <c r="A116" s="4" t="n">
        <v>115</v>
      </c>
      <c r="B116" s="4" t="s">
        <v>25</v>
      </c>
      <c r="C116" s="4" t="s">
        <v>200</v>
      </c>
      <c r="D116" s="4" t="s">
        <v>200</v>
      </c>
      <c r="E116" s="4" t="s">
        <v>27</v>
      </c>
      <c r="F116" s="4" t="n">
        <v>300</v>
      </c>
      <c r="G116" s="4" t="n">
        <v>300</v>
      </c>
      <c r="H116" s="4" t="s">
        <v>28</v>
      </c>
      <c r="I116" s="4" t="s">
        <v>201</v>
      </c>
      <c r="J116" s="4" t="n">
        <v>4</v>
      </c>
      <c r="K116" s="4" t="n">
        <v>50</v>
      </c>
      <c r="L116" s="5" t="n">
        <f aca="false">J116+K116</f>
        <v>54</v>
      </c>
      <c r="M116" s="4"/>
    </row>
    <row r="117" customFormat="false" ht="26.85" hidden="false" customHeight="false" outlineLevel="0" collapsed="false">
      <c r="A117" s="4"/>
      <c r="B117" s="6" t="s">
        <v>202</v>
      </c>
      <c r="C117" s="4"/>
      <c r="D117" s="6" t="s">
        <v>203</v>
      </c>
      <c r="E117" s="4" t="s">
        <v>27</v>
      </c>
      <c r="F117" s="4"/>
      <c r="G117" s="7"/>
      <c r="H117" s="4" t="s">
        <v>111</v>
      </c>
      <c r="I117" s="4"/>
      <c r="J117" s="4" t="n">
        <v>4</v>
      </c>
      <c r="K117" s="4" t="n">
        <v>0</v>
      </c>
      <c r="L117" s="5" t="n">
        <f aca="false">J117+K117</f>
        <v>4</v>
      </c>
      <c r="M117" s="4" t="s">
        <v>204</v>
      </c>
    </row>
    <row r="118" customFormat="false" ht="15" hidden="false" customHeight="false" outlineLevel="0" collapsed="false">
      <c r="A118" s="4"/>
      <c r="B118" s="6" t="s">
        <v>202</v>
      </c>
      <c r="C118" s="4"/>
      <c r="D118" s="6" t="s">
        <v>205</v>
      </c>
      <c r="E118" s="4" t="s">
        <v>27</v>
      </c>
      <c r="F118" s="4"/>
      <c r="G118" s="4" t="n">
        <v>3000</v>
      </c>
      <c r="H118" s="4" t="s">
        <v>129</v>
      </c>
      <c r="I118" s="4"/>
      <c r="J118" s="4" t="n">
        <v>13</v>
      </c>
      <c r="K118" s="4" t="n">
        <v>0</v>
      </c>
      <c r="L118" s="5" t="n">
        <f aca="false">J118+K118</f>
        <v>13</v>
      </c>
      <c r="M118" s="4"/>
    </row>
    <row r="119" customFormat="false" ht="15" hidden="false" customHeight="false" outlineLevel="0" collapsed="false">
      <c r="A119" s="4"/>
      <c r="B119" s="6" t="s">
        <v>202</v>
      </c>
      <c r="C119" s="4"/>
      <c r="D119" s="6" t="s">
        <v>206</v>
      </c>
      <c r="E119" s="4" t="s">
        <v>27</v>
      </c>
      <c r="F119" s="4"/>
      <c r="G119" s="4" t="n">
        <v>3000</v>
      </c>
      <c r="H119" s="4" t="s">
        <v>88</v>
      </c>
      <c r="I119" s="4"/>
      <c r="J119" s="4" t="n">
        <v>3</v>
      </c>
      <c r="K119" s="4" t="n">
        <v>0</v>
      </c>
      <c r="L119" s="5" t="n">
        <f aca="false">J119+K119</f>
        <v>3</v>
      </c>
      <c r="M119" s="4"/>
    </row>
    <row r="120" customFormat="false" ht="15" hidden="false" customHeight="false" outlineLevel="0" collapsed="false">
      <c r="A120" s="4"/>
      <c r="B120" s="6" t="s">
        <v>202</v>
      </c>
      <c r="C120" s="4"/>
      <c r="D120" s="6" t="s">
        <v>207</v>
      </c>
      <c r="E120" s="4" t="s">
        <v>27</v>
      </c>
      <c r="F120" s="4"/>
      <c r="G120" s="4" t="n">
        <v>4000</v>
      </c>
      <c r="H120" s="4" t="s">
        <v>88</v>
      </c>
      <c r="I120" s="4"/>
      <c r="J120" s="4" t="n">
        <v>3</v>
      </c>
      <c r="K120" s="4" t="n">
        <v>0</v>
      </c>
      <c r="L120" s="5" t="n">
        <f aca="false">J120+K120</f>
        <v>3</v>
      </c>
      <c r="M120" s="4"/>
    </row>
    <row r="121" customFormat="false" ht="15" hidden="false" customHeight="false" outlineLevel="0" collapsed="false">
      <c r="A121" s="4"/>
      <c r="B121" s="6" t="s">
        <v>202</v>
      </c>
      <c r="C121" s="4"/>
      <c r="D121" s="6" t="s">
        <v>208</v>
      </c>
      <c r="E121" s="4" t="s">
        <v>27</v>
      </c>
      <c r="F121" s="4"/>
      <c r="G121" s="4" t="n">
        <v>4000</v>
      </c>
      <c r="H121" s="4" t="s">
        <v>28</v>
      </c>
      <c r="I121" s="4"/>
      <c r="J121" s="4" t="n">
        <v>4</v>
      </c>
      <c r="K121" s="4" t="n">
        <v>0</v>
      </c>
      <c r="L121" s="5" t="n">
        <f aca="false">J121+K121</f>
        <v>4</v>
      </c>
      <c r="M121" s="4"/>
    </row>
    <row r="122" customFormat="false" ht="15" hidden="false" customHeight="false" outlineLevel="0" collapsed="false">
      <c r="A122" s="4"/>
      <c r="B122" s="6" t="s">
        <v>202</v>
      </c>
      <c r="C122" s="4"/>
      <c r="D122" s="6" t="s">
        <v>209</v>
      </c>
      <c r="E122" s="4" t="s">
        <v>27</v>
      </c>
      <c r="F122" s="4"/>
      <c r="G122" s="7"/>
      <c r="H122" s="4" t="s">
        <v>69</v>
      </c>
      <c r="I122" s="4"/>
      <c r="J122" s="4" t="n">
        <v>1</v>
      </c>
      <c r="K122" s="4" t="n">
        <v>0</v>
      </c>
      <c r="L122" s="5" t="n">
        <f aca="false">J122+K122</f>
        <v>1</v>
      </c>
      <c r="M122" s="4" t="s">
        <v>210</v>
      </c>
    </row>
    <row r="123" customFormat="false" ht="15" hidden="false" customHeight="false" outlineLevel="0" collapsed="false">
      <c r="A123" s="4"/>
      <c r="B123" s="6" t="s">
        <v>202</v>
      </c>
      <c r="C123" s="4"/>
      <c r="D123" s="6" t="s">
        <v>211</v>
      </c>
      <c r="E123" s="4" t="s">
        <v>27</v>
      </c>
      <c r="F123" s="4"/>
      <c r="G123" s="4" t="n">
        <v>1000</v>
      </c>
      <c r="H123" s="4" t="s">
        <v>34</v>
      </c>
      <c r="I123" s="4"/>
      <c r="J123" s="4" t="n">
        <v>12</v>
      </c>
      <c r="K123" s="4" t="n">
        <v>0</v>
      </c>
      <c r="L123" s="5" t="n">
        <f aca="false">J123+K123</f>
        <v>12</v>
      </c>
      <c r="M123" s="4"/>
    </row>
    <row r="124" customFormat="false" ht="15" hidden="false" customHeight="false" outlineLevel="0" collapsed="false">
      <c r="A124" s="4"/>
      <c r="B124" s="6" t="s">
        <v>202</v>
      </c>
      <c r="C124" s="4"/>
      <c r="D124" s="6" t="s">
        <v>212</v>
      </c>
      <c r="E124" s="4" t="s">
        <v>27</v>
      </c>
      <c r="F124" s="4"/>
      <c r="G124" s="4" t="n">
        <v>2500</v>
      </c>
      <c r="H124" s="4" t="s">
        <v>49</v>
      </c>
      <c r="I124" s="4"/>
      <c r="J124" s="4" t="n">
        <v>2</v>
      </c>
      <c r="K124" s="4" t="n">
        <v>0</v>
      </c>
      <c r="L124" s="5" t="n">
        <f aca="false">J124+K124</f>
        <v>2</v>
      </c>
      <c r="M124" s="4"/>
    </row>
    <row r="125" customFormat="false" ht="15" hidden="false" customHeight="false" outlineLevel="0" collapsed="false">
      <c r="A125" s="4"/>
      <c r="B125" s="6" t="s">
        <v>202</v>
      </c>
      <c r="C125" s="4"/>
      <c r="D125" s="6" t="s">
        <v>213</v>
      </c>
      <c r="E125" s="4" t="s">
        <v>27</v>
      </c>
      <c r="F125" s="4"/>
      <c r="G125" s="4" t="n">
        <v>2800</v>
      </c>
      <c r="H125" s="4" t="s">
        <v>47</v>
      </c>
      <c r="I125" s="4"/>
      <c r="J125" s="4" t="n">
        <v>5</v>
      </c>
      <c r="K125" s="4" t="n">
        <v>0</v>
      </c>
      <c r="L125" s="5" t="n">
        <f aca="false">J125+K125</f>
        <v>5</v>
      </c>
      <c r="M125" s="4"/>
    </row>
    <row r="126" customFormat="false" ht="15" hidden="false" customHeight="false" outlineLevel="0" collapsed="false">
      <c r="A126" s="4"/>
      <c r="B126" s="6" t="s">
        <v>202</v>
      </c>
      <c r="C126" s="4"/>
      <c r="D126" s="6" t="s">
        <v>214</v>
      </c>
      <c r="E126" s="4" t="s">
        <v>27</v>
      </c>
      <c r="F126" s="4"/>
      <c r="G126" s="4" t="n">
        <v>4500</v>
      </c>
      <c r="H126" s="4" t="s">
        <v>215</v>
      </c>
      <c r="I126" s="4"/>
      <c r="J126" s="4" t="n">
        <v>1</v>
      </c>
      <c r="K126" s="4" t="n">
        <v>0</v>
      </c>
      <c r="L126" s="5" t="n">
        <f aca="false">J126+K126</f>
        <v>1</v>
      </c>
      <c r="M126" s="4"/>
    </row>
    <row r="127" customFormat="false" ht="15" hidden="false" customHeight="false" outlineLevel="0" collapsed="false">
      <c r="A127" s="4"/>
      <c r="B127" s="6" t="s">
        <v>202</v>
      </c>
      <c r="C127" s="4"/>
      <c r="D127" s="6" t="s">
        <v>216</v>
      </c>
      <c r="E127" s="4" t="s">
        <v>27</v>
      </c>
      <c r="F127" s="4"/>
      <c r="G127" s="4" t="n">
        <v>3500</v>
      </c>
      <c r="H127" s="4" t="s">
        <v>217</v>
      </c>
      <c r="I127" s="4"/>
      <c r="J127" s="4" t="n">
        <v>2</v>
      </c>
      <c r="K127" s="4" t="n">
        <v>0</v>
      </c>
      <c r="L127" s="5" t="n">
        <f aca="false">J127+K127</f>
        <v>2</v>
      </c>
      <c r="M127" s="4"/>
    </row>
    <row r="128" customFormat="false" ht="15" hidden="false" customHeight="false" outlineLevel="0" collapsed="false">
      <c r="A128" s="4"/>
      <c r="B128" s="6" t="s">
        <v>202</v>
      </c>
      <c r="C128" s="4"/>
      <c r="D128" s="6" t="s">
        <v>218</v>
      </c>
      <c r="E128" s="4" t="s">
        <v>27</v>
      </c>
      <c r="F128" s="4"/>
      <c r="G128" s="4" t="n">
        <v>4200</v>
      </c>
      <c r="H128" s="4" t="s">
        <v>215</v>
      </c>
      <c r="I128" s="4"/>
      <c r="J128" s="4" t="n">
        <v>1</v>
      </c>
      <c r="K128" s="4" t="n">
        <v>0</v>
      </c>
      <c r="L128" s="5" t="n">
        <f aca="false">J128+K128</f>
        <v>1</v>
      </c>
      <c r="M128" s="4"/>
    </row>
    <row r="129" customFormat="false" ht="15" hidden="false" customHeight="false" outlineLevel="0" collapsed="false">
      <c r="A129" s="4"/>
      <c r="B129" s="6" t="s">
        <v>202</v>
      </c>
      <c r="C129" s="4"/>
      <c r="D129" s="6" t="s">
        <v>219</v>
      </c>
      <c r="E129" s="4" t="s">
        <v>27</v>
      </c>
      <c r="F129" s="4"/>
      <c r="G129" s="4" t="n">
        <v>2500</v>
      </c>
      <c r="H129" s="4" t="s">
        <v>47</v>
      </c>
      <c r="I129" s="4"/>
      <c r="J129" s="4" t="n">
        <v>5</v>
      </c>
      <c r="K129" s="4" t="n">
        <v>0</v>
      </c>
      <c r="L129" s="5" t="n">
        <f aca="false">J129+K129</f>
        <v>5</v>
      </c>
      <c r="M129" s="4"/>
    </row>
    <row r="130" customFormat="false" ht="15" hidden="false" customHeight="false" outlineLevel="0" collapsed="false">
      <c r="A130" s="4"/>
      <c r="B130" s="6" t="s">
        <v>202</v>
      </c>
      <c r="C130" s="4"/>
      <c r="D130" s="6" t="s">
        <v>220</v>
      </c>
      <c r="E130" s="4" t="s">
        <v>27</v>
      </c>
      <c r="F130" s="4"/>
      <c r="G130" s="4" t="n">
        <v>4500</v>
      </c>
      <c r="H130" s="4" t="s">
        <v>69</v>
      </c>
      <c r="I130" s="4"/>
      <c r="J130" s="4" t="n">
        <v>1</v>
      </c>
      <c r="K130" s="4" t="n">
        <v>0</v>
      </c>
      <c r="L130" s="5" t="n">
        <f aca="false">J130+K130</f>
        <v>1</v>
      </c>
      <c r="M130" s="4"/>
    </row>
    <row r="131" customFormat="false" ht="15" hidden="false" customHeight="false" outlineLevel="0" collapsed="false">
      <c r="A131" s="4"/>
      <c r="B131" s="6" t="s">
        <v>202</v>
      </c>
      <c r="C131" s="4"/>
      <c r="D131" s="6" t="s">
        <v>221</v>
      </c>
      <c r="E131" s="4" t="s">
        <v>27</v>
      </c>
      <c r="F131" s="4"/>
      <c r="G131" s="4" t="n">
        <v>2500</v>
      </c>
      <c r="H131" s="4" t="s">
        <v>47</v>
      </c>
      <c r="I131" s="4"/>
      <c r="J131" s="4" t="n">
        <v>5</v>
      </c>
      <c r="K131" s="4" t="n">
        <v>0</v>
      </c>
      <c r="L131" s="5" t="n">
        <f aca="false">J131+K131</f>
        <v>5</v>
      </c>
      <c r="M131" s="4"/>
    </row>
    <row r="132" customFormat="false" ht="15" hidden="false" customHeight="false" outlineLevel="0" collapsed="false">
      <c r="A132" s="4"/>
      <c r="B132" s="6" t="s">
        <v>202</v>
      </c>
      <c r="C132" s="4"/>
      <c r="D132" s="6" t="s">
        <v>222</v>
      </c>
      <c r="E132" s="4" t="s">
        <v>27</v>
      </c>
      <c r="F132" s="4"/>
      <c r="G132" s="4" t="n">
        <v>6000</v>
      </c>
      <c r="H132" s="4" t="s">
        <v>88</v>
      </c>
      <c r="I132" s="4"/>
      <c r="J132" s="4" t="n">
        <v>3</v>
      </c>
      <c r="K132" s="4" t="n">
        <v>0</v>
      </c>
      <c r="L132" s="5" t="n">
        <f aca="false">J132+K132</f>
        <v>3</v>
      </c>
      <c r="M132" s="4"/>
    </row>
    <row r="133" customFormat="false" ht="15" hidden="false" customHeight="false" outlineLevel="0" collapsed="false">
      <c r="A133" s="4"/>
      <c r="B133" s="6" t="s">
        <v>202</v>
      </c>
      <c r="C133" s="4"/>
      <c r="D133" s="6" t="s">
        <v>223</v>
      </c>
      <c r="E133" s="4" t="s">
        <v>27</v>
      </c>
      <c r="F133" s="4"/>
      <c r="G133" s="4" t="n">
        <v>5000</v>
      </c>
      <c r="H133" s="4" t="s">
        <v>49</v>
      </c>
      <c r="I133" s="4"/>
      <c r="J133" s="4" t="n">
        <v>2</v>
      </c>
      <c r="K133" s="4" t="n">
        <v>0</v>
      </c>
      <c r="L133" s="5" t="n">
        <f aca="false">J133+K133</f>
        <v>2</v>
      </c>
      <c r="M133" s="4"/>
    </row>
    <row r="134" customFormat="false" ht="15" hidden="false" customHeight="false" outlineLevel="0" collapsed="false">
      <c r="A134" s="4"/>
      <c r="B134" s="6" t="s">
        <v>202</v>
      </c>
      <c r="C134" s="4"/>
      <c r="D134" s="6" t="s">
        <v>224</v>
      </c>
      <c r="E134" s="4" t="s">
        <v>27</v>
      </c>
      <c r="F134" s="4"/>
      <c r="G134" s="4" t="n">
        <v>5000</v>
      </c>
      <c r="H134" s="4" t="s">
        <v>69</v>
      </c>
      <c r="I134" s="4"/>
      <c r="J134" s="4" t="n">
        <v>1</v>
      </c>
      <c r="K134" s="4" t="n">
        <v>0</v>
      </c>
      <c r="L134" s="5" t="n">
        <f aca="false">J134+K134</f>
        <v>1</v>
      </c>
      <c r="M134" s="4"/>
    </row>
    <row r="135" customFormat="false" ht="15" hidden="false" customHeight="false" outlineLevel="0" collapsed="false">
      <c r="A135" s="4"/>
      <c r="B135" s="6" t="s">
        <v>202</v>
      </c>
      <c r="C135" s="4"/>
      <c r="D135" s="6" t="s">
        <v>225</v>
      </c>
      <c r="E135" s="4" t="s">
        <v>27</v>
      </c>
      <c r="F135" s="4"/>
      <c r="G135" s="4" t="n">
        <v>6000</v>
      </c>
      <c r="H135" s="4" t="s">
        <v>47</v>
      </c>
      <c r="I135" s="4"/>
      <c r="J135" s="4" t="n">
        <v>5</v>
      </c>
      <c r="K135" s="4" t="n">
        <v>0</v>
      </c>
      <c r="L135" s="5" t="n">
        <f aca="false">J135+K135</f>
        <v>5</v>
      </c>
      <c r="M135" s="4"/>
    </row>
    <row r="136" customFormat="false" ht="15" hidden="false" customHeight="false" outlineLevel="0" collapsed="false">
      <c r="A136" s="4"/>
      <c r="B136" s="6" t="s">
        <v>202</v>
      </c>
      <c r="C136" s="4"/>
      <c r="D136" s="6" t="s">
        <v>226</v>
      </c>
      <c r="E136" s="4" t="s">
        <v>27</v>
      </c>
      <c r="F136" s="4"/>
      <c r="G136" s="4" t="n">
        <v>9000</v>
      </c>
      <c r="H136" s="4" t="s">
        <v>49</v>
      </c>
      <c r="I136" s="4"/>
      <c r="J136" s="4" t="n">
        <v>2</v>
      </c>
      <c r="K136" s="4" t="n">
        <v>0</v>
      </c>
      <c r="L136" s="5" t="n">
        <f aca="false">J136+K136</f>
        <v>2</v>
      </c>
      <c r="M136" s="4"/>
    </row>
    <row r="137" customFormat="false" ht="15" hidden="false" customHeight="false" outlineLevel="0" collapsed="false">
      <c r="A137" s="4"/>
      <c r="B137" s="6" t="s">
        <v>202</v>
      </c>
      <c r="C137" s="4"/>
      <c r="D137" s="6" t="s">
        <v>227</v>
      </c>
      <c r="E137" s="4" t="s">
        <v>27</v>
      </c>
      <c r="F137" s="4"/>
      <c r="G137" s="4" t="n">
        <v>4000</v>
      </c>
      <c r="H137" s="4" t="s">
        <v>28</v>
      </c>
      <c r="I137" s="4"/>
      <c r="J137" s="4" t="n">
        <v>4</v>
      </c>
      <c r="K137" s="4" t="n">
        <v>0</v>
      </c>
      <c r="L137" s="5" t="n">
        <f aca="false">J137+K137</f>
        <v>4</v>
      </c>
      <c r="M137" s="4"/>
    </row>
    <row r="138" customFormat="false" ht="15" hidden="false" customHeight="false" outlineLevel="0" collapsed="false">
      <c r="A138" s="4"/>
      <c r="B138" s="6" t="s">
        <v>202</v>
      </c>
      <c r="C138" s="4"/>
      <c r="D138" s="6" t="s">
        <v>228</v>
      </c>
      <c r="E138" s="4" t="s">
        <v>27</v>
      </c>
      <c r="F138" s="4"/>
      <c r="G138" s="4" t="n">
        <v>4000</v>
      </c>
      <c r="H138" s="4" t="s">
        <v>88</v>
      </c>
      <c r="I138" s="4"/>
      <c r="J138" s="4" t="n">
        <v>3</v>
      </c>
      <c r="K138" s="4" t="n">
        <v>0</v>
      </c>
      <c r="L138" s="5" t="n">
        <f aca="false">J138+K138</f>
        <v>3</v>
      </c>
      <c r="M138" s="4"/>
    </row>
    <row r="139" customFormat="false" ht="15" hidden="false" customHeight="false" outlineLevel="0" collapsed="false">
      <c r="A139" s="4"/>
      <c r="B139" s="6" t="s">
        <v>202</v>
      </c>
      <c r="C139" s="4"/>
      <c r="D139" s="6" t="s">
        <v>229</v>
      </c>
      <c r="E139" s="4" t="s">
        <v>27</v>
      </c>
      <c r="F139" s="4"/>
      <c r="G139" s="4" t="n">
        <v>7500</v>
      </c>
      <c r="H139" s="4" t="s">
        <v>88</v>
      </c>
      <c r="I139" s="4"/>
      <c r="J139" s="4" t="n">
        <v>3</v>
      </c>
      <c r="K139" s="4" t="n">
        <v>0</v>
      </c>
      <c r="L139" s="5" t="n">
        <f aca="false">J139+K139</f>
        <v>3</v>
      </c>
      <c r="M139" s="4"/>
    </row>
    <row r="140" customFormat="false" ht="15" hidden="false" customHeight="false" outlineLevel="0" collapsed="false">
      <c r="A140" s="4"/>
      <c r="B140" s="6" t="s">
        <v>202</v>
      </c>
      <c r="C140" s="4"/>
      <c r="D140" s="6" t="s">
        <v>230</v>
      </c>
      <c r="E140" s="4" t="s">
        <v>27</v>
      </c>
      <c r="F140" s="4"/>
      <c r="G140" s="4" t="n">
        <v>4000</v>
      </c>
      <c r="H140" s="4" t="s">
        <v>69</v>
      </c>
      <c r="I140" s="4"/>
      <c r="J140" s="4" t="n">
        <v>1</v>
      </c>
      <c r="K140" s="4" t="n">
        <v>0</v>
      </c>
      <c r="L140" s="5" t="n">
        <f aca="false">J140+K140</f>
        <v>1</v>
      </c>
      <c r="M140" s="4"/>
    </row>
    <row r="141" customFormat="false" ht="15" hidden="false" customHeight="false" outlineLevel="0" collapsed="false">
      <c r="A141" s="4"/>
      <c r="B141" s="6" t="s">
        <v>202</v>
      </c>
      <c r="C141" s="4"/>
      <c r="D141" s="6" t="s">
        <v>231</v>
      </c>
      <c r="E141" s="4" t="s">
        <v>27</v>
      </c>
      <c r="F141" s="4"/>
      <c r="G141" s="4" t="n">
        <v>5000</v>
      </c>
      <c r="H141" s="4" t="s">
        <v>28</v>
      </c>
      <c r="I141" s="4"/>
      <c r="J141" s="4" t="n">
        <v>4</v>
      </c>
      <c r="K141" s="4" t="n">
        <v>0</v>
      </c>
      <c r="L141" s="5" t="n">
        <f aca="false">J141+K141</f>
        <v>4</v>
      </c>
      <c r="M141" s="4"/>
    </row>
    <row r="142" customFormat="false" ht="15" hidden="false" customHeight="false" outlineLevel="0" collapsed="false">
      <c r="A142" s="4"/>
      <c r="B142" s="6" t="s">
        <v>202</v>
      </c>
      <c r="C142" s="4"/>
      <c r="D142" s="6" t="s">
        <v>232</v>
      </c>
      <c r="E142" s="4" t="s">
        <v>27</v>
      </c>
      <c r="F142" s="4"/>
      <c r="G142" s="4" t="n">
        <v>6000</v>
      </c>
      <c r="H142" s="4" t="s">
        <v>69</v>
      </c>
      <c r="I142" s="4"/>
      <c r="J142" s="4" t="n">
        <v>1</v>
      </c>
      <c r="K142" s="4" t="n">
        <v>0</v>
      </c>
      <c r="L142" s="5" t="n">
        <f aca="false">J142+K142</f>
        <v>1</v>
      </c>
      <c r="M142" s="4"/>
    </row>
    <row r="143" customFormat="false" ht="15" hidden="false" customHeight="false" outlineLevel="0" collapsed="false">
      <c r="A143" s="4"/>
      <c r="B143" s="6" t="s">
        <v>202</v>
      </c>
      <c r="C143" s="4"/>
      <c r="D143" s="6" t="s">
        <v>233</v>
      </c>
      <c r="E143" s="4" t="s">
        <v>27</v>
      </c>
      <c r="F143" s="4"/>
      <c r="G143" s="4" t="n">
        <v>6000</v>
      </c>
      <c r="H143" s="4" t="s">
        <v>49</v>
      </c>
      <c r="I143" s="4"/>
      <c r="J143" s="4" t="n">
        <v>2</v>
      </c>
      <c r="K143" s="4" t="n">
        <v>0</v>
      </c>
      <c r="L143" s="5" t="n">
        <f aca="false">J143+K143</f>
        <v>2</v>
      </c>
      <c r="M143" s="4"/>
    </row>
    <row r="144" customFormat="false" ht="15" hidden="false" customHeight="false" outlineLevel="0" collapsed="false">
      <c r="A144" s="4"/>
      <c r="B144" s="6" t="s">
        <v>202</v>
      </c>
      <c r="C144" s="4"/>
      <c r="D144" s="6" t="s">
        <v>234</v>
      </c>
      <c r="E144" s="4" t="s">
        <v>27</v>
      </c>
      <c r="F144" s="4"/>
      <c r="G144" s="8" t="n">
        <v>6000</v>
      </c>
      <c r="H144" s="8" t="s">
        <v>49</v>
      </c>
      <c r="I144" s="8"/>
      <c r="J144" s="4" t="n">
        <v>2</v>
      </c>
      <c r="K144" s="4" t="n">
        <v>0</v>
      </c>
      <c r="L144" s="5" t="n">
        <f aca="false">J144+K144</f>
        <v>2</v>
      </c>
      <c r="M144" s="8" t="s">
        <v>235</v>
      </c>
    </row>
    <row r="145" customFormat="false" ht="15" hidden="false" customHeight="false" outlineLevel="0" collapsed="false">
      <c r="A145" s="4"/>
      <c r="B145" s="6" t="s">
        <v>202</v>
      </c>
      <c r="C145" s="4"/>
      <c r="D145" s="6" t="s">
        <v>236</v>
      </c>
      <c r="E145" s="4" t="s">
        <v>27</v>
      </c>
      <c r="F145" s="4"/>
      <c r="G145" s="4" t="n">
        <v>4000</v>
      </c>
      <c r="H145" s="4" t="s">
        <v>49</v>
      </c>
      <c r="I145" s="4"/>
      <c r="J145" s="4" t="n">
        <v>2</v>
      </c>
      <c r="K145" s="4" t="n">
        <v>0</v>
      </c>
      <c r="L145" s="5" t="n">
        <f aca="false">J145+K145</f>
        <v>2</v>
      </c>
      <c r="M145" s="4"/>
    </row>
    <row r="146" customFormat="false" ht="15" hidden="false" customHeight="false" outlineLevel="0" collapsed="false">
      <c r="A146" s="4"/>
      <c r="B146" s="6" t="s">
        <v>202</v>
      </c>
      <c r="C146" s="4"/>
      <c r="D146" s="6" t="s">
        <v>237</v>
      </c>
      <c r="E146" s="4" t="s">
        <v>27</v>
      </c>
      <c r="F146" s="4"/>
      <c r="G146" s="4" t="n">
        <v>4500</v>
      </c>
      <c r="H146" s="4" t="s">
        <v>69</v>
      </c>
      <c r="I146" s="4"/>
      <c r="J146" s="4" t="n">
        <v>1</v>
      </c>
      <c r="K146" s="4" t="n">
        <v>0</v>
      </c>
      <c r="L146" s="5" t="n">
        <f aca="false">J146+K146</f>
        <v>1</v>
      </c>
      <c r="M146" s="4"/>
    </row>
    <row r="147" customFormat="false" ht="15" hidden="false" customHeight="false" outlineLevel="0" collapsed="false">
      <c r="A147" s="4"/>
      <c r="B147" s="6" t="s">
        <v>202</v>
      </c>
      <c r="C147" s="4"/>
      <c r="D147" s="6" t="s">
        <v>238</v>
      </c>
      <c r="E147" s="4" t="s">
        <v>27</v>
      </c>
      <c r="F147" s="4"/>
      <c r="G147" s="4" t="n">
        <v>6000</v>
      </c>
      <c r="H147" s="4" t="s">
        <v>28</v>
      </c>
      <c r="I147" s="4"/>
      <c r="J147" s="4" t="n">
        <v>4</v>
      </c>
      <c r="K147" s="4" t="n">
        <v>0</v>
      </c>
      <c r="L147" s="5" t="n">
        <f aca="false">J147+K147</f>
        <v>4</v>
      </c>
      <c r="M147" s="4"/>
    </row>
    <row r="148" customFormat="false" ht="15" hidden="false" customHeight="false" outlineLevel="0" collapsed="false">
      <c r="A148" s="4"/>
      <c r="B148" s="6" t="s">
        <v>202</v>
      </c>
      <c r="C148" s="4"/>
      <c r="D148" s="6" t="s">
        <v>239</v>
      </c>
      <c r="E148" s="4" t="s">
        <v>27</v>
      </c>
      <c r="F148" s="4"/>
      <c r="G148" s="4" t="n">
        <v>4500</v>
      </c>
      <c r="H148" s="4" t="s">
        <v>88</v>
      </c>
      <c r="I148" s="4"/>
      <c r="J148" s="4" t="n">
        <v>3</v>
      </c>
      <c r="K148" s="4" t="n">
        <v>0</v>
      </c>
      <c r="L148" s="5" t="n">
        <f aca="false">J148+K148</f>
        <v>3</v>
      </c>
      <c r="M148" s="4"/>
    </row>
    <row r="149" customFormat="false" ht="15" hidden="false" customHeight="false" outlineLevel="0" collapsed="false">
      <c r="A149" s="4"/>
      <c r="B149" s="6" t="s">
        <v>202</v>
      </c>
      <c r="C149" s="4"/>
      <c r="D149" s="6" t="s">
        <v>240</v>
      </c>
      <c r="E149" s="4" t="s">
        <v>27</v>
      </c>
      <c r="F149" s="4"/>
      <c r="G149" s="4" t="n">
        <v>6500</v>
      </c>
      <c r="H149" s="4" t="s">
        <v>88</v>
      </c>
      <c r="I149" s="4"/>
      <c r="J149" s="4" t="n">
        <v>3</v>
      </c>
      <c r="K149" s="4" t="n">
        <v>0</v>
      </c>
      <c r="L149" s="5" t="n">
        <f aca="false">J149+K149</f>
        <v>3</v>
      </c>
      <c r="M149" s="4"/>
    </row>
    <row r="150" customFormat="false" ht="15" hidden="false" customHeight="false" outlineLevel="0" collapsed="false">
      <c r="A150" s="4"/>
      <c r="B150" s="6" t="s">
        <v>202</v>
      </c>
      <c r="C150" s="4"/>
      <c r="D150" s="6" t="s">
        <v>241</v>
      </c>
      <c r="E150" s="4" t="s">
        <v>27</v>
      </c>
      <c r="F150" s="4"/>
      <c r="G150" s="4" t="n">
        <v>9500</v>
      </c>
      <c r="H150" s="4" t="s">
        <v>49</v>
      </c>
      <c r="I150" s="4"/>
      <c r="J150" s="4" t="n">
        <v>2</v>
      </c>
      <c r="K150" s="4" t="n">
        <v>0</v>
      </c>
      <c r="L150" s="5" t="n">
        <f aca="false">J150+K150</f>
        <v>2</v>
      </c>
      <c r="M150" s="4"/>
    </row>
    <row r="151" customFormat="false" ht="15" hidden="false" customHeight="false" outlineLevel="0" collapsed="false">
      <c r="A151" s="4"/>
      <c r="B151" s="6" t="s">
        <v>202</v>
      </c>
      <c r="C151" s="4"/>
      <c r="D151" s="6" t="s">
        <v>242</v>
      </c>
      <c r="E151" s="4" t="s">
        <v>27</v>
      </c>
      <c r="F151" s="4"/>
      <c r="G151" s="4" t="n">
        <v>4000</v>
      </c>
      <c r="H151" s="4" t="s">
        <v>49</v>
      </c>
      <c r="I151" s="4"/>
      <c r="J151" s="4" t="n">
        <v>2</v>
      </c>
      <c r="K151" s="4" t="n">
        <v>0</v>
      </c>
      <c r="L151" s="5" t="n">
        <f aca="false">J151+K151</f>
        <v>2</v>
      </c>
      <c r="M151" s="4"/>
    </row>
    <row r="152" customFormat="false" ht="15" hidden="false" customHeight="false" outlineLevel="0" collapsed="false">
      <c r="A152" s="4"/>
      <c r="B152" s="6" t="s">
        <v>202</v>
      </c>
      <c r="C152" s="4"/>
      <c r="D152" s="6" t="s">
        <v>243</v>
      </c>
      <c r="E152" s="4" t="s">
        <v>27</v>
      </c>
      <c r="F152" s="4"/>
      <c r="G152" s="4" t="n">
        <v>2500</v>
      </c>
      <c r="H152" s="4" t="s">
        <v>49</v>
      </c>
      <c r="I152" s="4"/>
      <c r="J152" s="4" t="n">
        <v>2</v>
      </c>
      <c r="K152" s="4" t="n">
        <v>0</v>
      </c>
      <c r="L152" s="5" t="n">
        <f aca="false">J152+K152</f>
        <v>2</v>
      </c>
      <c r="M152" s="4"/>
    </row>
    <row r="153" customFormat="false" ht="15" hidden="false" customHeight="false" outlineLevel="0" collapsed="false">
      <c r="A153" s="4"/>
      <c r="B153" s="6" t="s">
        <v>202</v>
      </c>
      <c r="C153" s="4"/>
      <c r="D153" s="6" t="s">
        <v>244</v>
      </c>
      <c r="E153" s="4" t="s">
        <v>27</v>
      </c>
      <c r="F153" s="4"/>
      <c r="G153" s="4" t="n">
        <v>7000</v>
      </c>
      <c r="H153" s="4" t="s">
        <v>49</v>
      </c>
      <c r="I153" s="4"/>
      <c r="J153" s="4" t="n">
        <v>2</v>
      </c>
      <c r="K153" s="4" t="n">
        <v>0</v>
      </c>
      <c r="L153" s="5" t="n">
        <f aca="false">J153+K153</f>
        <v>2</v>
      </c>
      <c r="M153" s="4"/>
    </row>
    <row r="154" customFormat="false" ht="15" hidden="false" customHeight="false" outlineLevel="0" collapsed="false">
      <c r="A154" s="4"/>
      <c r="B154" s="6" t="s">
        <v>202</v>
      </c>
      <c r="C154" s="4"/>
      <c r="D154" s="6" t="s">
        <v>245</v>
      </c>
      <c r="E154" s="4" t="s">
        <v>27</v>
      </c>
      <c r="F154" s="4"/>
      <c r="G154" s="4" t="n">
        <v>6000</v>
      </c>
      <c r="H154" s="4" t="s">
        <v>88</v>
      </c>
      <c r="I154" s="4"/>
      <c r="J154" s="4" t="n">
        <v>3</v>
      </c>
      <c r="K154" s="4" t="n">
        <v>0</v>
      </c>
      <c r="L154" s="5" t="n">
        <f aca="false">J154+K154</f>
        <v>3</v>
      </c>
      <c r="M154" s="4"/>
    </row>
    <row r="155" customFormat="false" ht="15" hidden="false" customHeight="false" outlineLevel="0" collapsed="false">
      <c r="A155" s="4"/>
      <c r="B155" s="6" t="s">
        <v>202</v>
      </c>
      <c r="C155" s="4"/>
      <c r="D155" s="6" t="s">
        <v>246</v>
      </c>
      <c r="E155" s="4" t="s">
        <v>27</v>
      </c>
      <c r="F155" s="4"/>
      <c r="G155" s="4" t="n">
        <v>6000</v>
      </c>
      <c r="H155" s="4" t="s">
        <v>247</v>
      </c>
      <c r="I155" s="4"/>
      <c r="J155" s="4" t="n">
        <v>7</v>
      </c>
      <c r="K155" s="4" t="n">
        <v>0</v>
      </c>
      <c r="L155" s="5" t="n">
        <f aca="false">J155+K155</f>
        <v>7</v>
      </c>
      <c r="M155" s="4"/>
    </row>
    <row r="156" customFormat="false" ht="15" hidden="false" customHeight="false" outlineLevel="0" collapsed="false">
      <c r="A156" s="4"/>
      <c r="B156" s="6" t="s">
        <v>202</v>
      </c>
      <c r="C156" s="4"/>
      <c r="D156" s="6" t="s">
        <v>248</v>
      </c>
      <c r="E156" s="4" t="s">
        <v>27</v>
      </c>
      <c r="F156" s="4"/>
      <c r="G156" s="7"/>
      <c r="H156" s="4" t="s">
        <v>49</v>
      </c>
      <c r="I156" s="4"/>
      <c r="J156" s="4" t="n">
        <v>2</v>
      </c>
      <c r="K156" s="4" t="n">
        <v>0</v>
      </c>
      <c r="L156" s="5" t="n">
        <f aca="false">J156+K156</f>
        <v>2</v>
      </c>
      <c r="M156" s="4" t="s">
        <v>210</v>
      </c>
    </row>
    <row r="157" customFormat="false" ht="15" hidden="false" customHeight="false" outlineLevel="0" collapsed="false">
      <c r="A157" s="4"/>
      <c r="B157" s="6" t="s">
        <v>202</v>
      </c>
      <c r="C157" s="4"/>
      <c r="D157" s="6" t="s">
        <v>249</v>
      </c>
      <c r="E157" s="4" t="s">
        <v>27</v>
      </c>
      <c r="F157" s="4"/>
      <c r="G157" s="7"/>
      <c r="H157" s="4" t="s">
        <v>69</v>
      </c>
      <c r="I157" s="4"/>
      <c r="J157" s="4" t="n">
        <v>1</v>
      </c>
      <c r="K157" s="4" t="n">
        <v>0</v>
      </c>
      <c r="L157" s="5" t="n">
        <f aca="false">J157+K157</f>
        <v>1</v>
      </c>
      <c r="M157" s="4" t="s">
        <v>210</v>
      </c>
    </row>
    <row r="158" customFormat="false" ht="15" hidden="false" customHeight="false" outlineLevel="0" collapsed="false">
      <c r="A158" s="4"/>
      <c r="B158" s="6" t="s">
        <v>202</v>
      </c>
      <c r="C158" s="4"/>
      <c r="D158" s="6" t="s">
        <v>250</v>
      </c>
      <c r="E158" s="4" t="s">
        <v>27</v>
      </c>
      <c r="F158" s="4"/>
      <c r="G158" s="7"/>
      <c r="H158" s="4" t="s">
        <v>69</v>
      </c>
      <c r="I158" s="4"/>
      <c r="J158" s="4" t="n">
        <v>1</v>
      </c>
      <c r="K158" s="4" t="n">
        <v>0</v>
      </c>
      <c r="L158" s="5" t="n">
        <f aca="false">J158+K158</f>
        <v>1</v>
      </c>
      <c r="M158" s="4" t="s">
        <v>210</v>
      </c>
    </row>
    <row r="159" customFormat="false" ht="15" hidden="false" customHeight="false" outlineLevel="0" collapsed="false">
      <c r="A159" s="4"/>
      <c r="B159" s="6" t="s">
        <v>202</v>
      </c>
      <c r="C159" s="4"/>
      <c r="D159" s="6" t="s">
        <v>251</v>
      </c>
      <c r="E159" s="4" t="s">
        <v>27</v>
      </c>
      <c r="F159" s="4"/>
      <c r="G159" s="7"/>
      <c r="H159" s="4" t="s">
        <v>49</v>
      </c>
      <c r="I159" s="4"/>
      <c r="J159" s="4" t="n">
        <v>2</v>
      </c>
      <c r="K159" s="4" t="n">
        <v>0</v>
      </c>
      <c r="L159" s="5" t="n">
        <f aca="false">J159+K159</f>
        <v>2</v>
      </c>
      <c r="M159" s="4" t="s">
        <v>210</v>
      </c>
    </row>
    <row r="160" customFormat="false" ht="15" hidden="false" customHeight="false" outlineLevel="0" collapsed="false">
      <c r="A160" s="4"/>
      <c r="B160" s="6" t="s">
        <v>202</v>
      </c>
      <c r="C160" s="4"/>
      <c r="D160" s="6" t="s">
        <v>252</v>
      </c>
      <c r="E160" s="4" t="s">
        <v>27</v>
      </c>
      <c r="F160" s="4"/>
      <c r="G160" s="7"/>
      <c r="H160" s="4" t="s">
        <v>82</v>
      </c>
      <c r="I160" s="4"/>
      <c r="J160" s="4" t="n">
        <v>6</v>
      </c>
      <c r="K160" s="4" t="n">
        <v>0</v>
      </c>
      <c r="L160" s="5" t="n">
        <f aca="false">J160+K160</f>
        <v>6</v>
      </c>
      <c r="M160" s="4" t="s">
        <v>210</v>
      </c>
    </row>
    <row r="161" customFormat="false" ht="15" hidden="false" customHeight="false" outlineLevel="0" collapsed="false">
      <c r="A161" s="4"/>
      <c r="B161" s="6" t="s">
        <v>202</v>
      </c>
      <c r="C161" s="4"/>
      <c r="D161" s="6" t="s">
        <v>253</v>
      </c>
      <c r="E161" s="4" t="s">
        <v>27</v>
      </c>
      <c r="F161" s="4"/>
      <c r="G161" s="7"/>
      <c r="H161" s="4" t="s">
        <v>34</v>
      </c>
      <c r="I161" s="4"/>
      <c r="J161" s="4" t="n">
        <v>12</v>
      </c>
      <c r="K161" s="4" t="n">
        <v>0</v>
      </c>
      <c r="L161" s="5" t="n">
        <f aca="false">J161+K161</f>
        <v>12</v>
      </c>
      <c r="M161" s="4" t="s">
        <v>210</v>
      </c>
    </row>
  </sheetData>
  <autoFilter ref="A1:M161"/>
  <dataValidations count="1">
    <dataValidation allowBlank="true" errorStyle="stop" operator="greaterThanOrEqual" showDropDown="false" showErrorMessage="false" showInputMessage="false" sqref="G2:G161 J2:K16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2026-09-26T18:42:12Z</dcterms:created>
  <dc:creator>openpyxl</dc:creator>
  <dc:description/>
  <dc:language>en-US</dc:language>
  <cp:lastModifiedBy/>
  <dcterms:modified xsi:type="dcterms:W3CDTF">2026-09-26T18:42:12Z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