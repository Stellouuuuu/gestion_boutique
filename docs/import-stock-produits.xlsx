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'emploi" sheetId="1" state="visible" r:id="rId3"/>
    <sheet name="Import produits" sheetId="2" state="visible" r:id="rId4"/>
  </sheets>
  <definedNames>
    <definedName function="false" hidden="true" localSheetId="1" name="_xlnm._FilterDatabase" vbProcedure="false">'Import produits'!$A$1:$Q$229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<sst xmlns="http://schemas.openxmlformats.org/spreadsheetml/2006/main" count="1200" uniqueCount="394">
  <si>
    <t xml:space="preserve">Import du stock PRODUITS — à compléter avec Maman</t>
  </si>
  <si>
    <t xml:space="preserve">Couleurs :</t>
  </si>
  <si>
    <t xml:space="preserve">  JAUNE = à remplir : prix gros manquants (col. F) et PRIX DÉTAIL (col. Q, tous les articles).</t>
  </si>
  <si>
    <t xml:space="preserve">IMPORTANT : la colonne F contient le prix GROS d'une unité (et non le prix détail). Le prix détail est à demander à Maman (col. Q).</t>
  </si>
  <si>
    <t xml:space="preserve">  ORANGE = chiffre raturé ou peu lisible sur la fiche : vérifier sur la vraie feuille et corriger les colonnes J à N.</t>
  </si>
  <si>
    <t xml:space="preserve">  BLEU = article renommé ou ajouté.</t>
  </si>
  <si>
    <t xml:space="preserve">Règles appliquées : chiffre seul = unités ; 1 dz = 12 unités ; P = paquet, ct = carton (nombre d'unités à indiquer) ; « -3 » = 3 unités retirées ; « - » ou « = » = 0.</t>
  </si>
  <si>
    <t xml:space="preserve">La colonne O « STOCK FINAL » se calcule toute seule. Elle affiche « à compléter » tant qu'il manque le nombre d'unités d'un paquet ou d'un carton.</t>
  </si>
  <si>
    <t xml:space="preserve">Si Maman a vendu des articles depuis le jour du comptage, enlève-les du stock final (ou enregistre ces ventes dans l'app après l'import).</t>
  </si>
  <si>
    <t xml:space="preserve">Renommés : Barrette blanc grand → Barrette multicolor ; Like à sec Petit → Like argan ; Peigne complet → Perle de 4000 (4000 F) ; Piques → Pince grand ; Tam-tam overa → Tam-tam xblock ; Peigne afro petit → Peigne afro petit de 100 (100 F).</t>
  </si>
  <si>
    <t xml:space="preserve">Ajoutés : Perle de 3500, Peigne afro petit de 150, et les 24 articles écrits à la main (dont Fer à brosse et Coris attaché).</t>
  </si>
  <si>
    <t xml:space="preserve">Retirés (Action = Retirer) : « Colle Ultra », « Passion twist » et le Tam-tam xblock vide créé au 1er import. Les quantités peuvent avoir des décimales (ex. 12,5 : Maman vend certaines perles à la demi-unité).</t>
  </si>
  <si>
    <t xml:space="preserve">Résumé (se met à jour tout seul) :</t>
  </si>
  <si>
    <t xml:space="preserve">Lignes au total</t>
  </si>
  <si>
    <t xml:space="preserve">Stock final calculé</t>
  </si>
  <si>
    <t xml:space="preserve">Stock final « à compléter »</t>
  </si>
  <si>
    <t xml:space="preserve">Lignes à vérifier (lecture incertaine)</t>
  </si>
  <si>
    <t xml:space="preserve">Prix gros manquants</t>
  </si>
  <si>
    <t xml:space="preserve">Prix détail à remplir</t>
  </si>
  <si>
    <t xml:space="preserve">N°</t>
  </si>
  <si>
    <t xml:space="preserve">Action</t>
  </si>
  <si>
    <t xml:space="preserve">Nom actuel (app)</t>
  </si>
  <si>
    <t xml:space="preserve">Nom final</t>
  </si>
  <si>
    <t xml:space="preserve">Catégorie</t>
  </si>
  <si>
    <t xml:space="preserve">Prix GROS (F, 1 unité)</t>
  </si>
  <si>
    <t xml:space="preserve">Stock écrit</t>
  </si>
  <si>
    <t xml:space="preserve">Entrées écrites</t>
  </si>
  <si>
    <t xml:space="preserve">Retirés</t>
  </si>
  <si>
    <t xml:space="preserve">Unités (hors paquets/cartons)</t>
  </si>
  <si>
    <t xml:space="preserve">Nb paquets</t>
  </si>
  <si>
    <t xml:space="preserve">Unités dans 1 paquet</t>
  </si>
  <si>
    <t xml:space="preserve">Nb cartons</t>
  </si>
  <si>
    <t xml:space="preserve">Unités dans 1 carton</t>
  </si>
  <si>
    <t xml:space="preserve">STOCK FINAL (unités)</t>
  </si>
  <si>
    <t xml:space="preserve">À vérifier</t>
  </si>
  <si>
    <t xml:space="preserve">Prix DÉTAIL (F, 1 unité) — à demander à Maman</t>
  </si>
  <si>
    <t xml:space="preserve">Garder</t>
  </si>
  <si>
    <t xml:space="preserve">Aiguille</t>
  </si>
  <si>
    <t xml:space="preserve">Produits</t>
  </si>
  <si>
    <t xml:space="preserve">87</t>
  </si>
  <si>
    <t xml:space="preserve">Apperl</t>
  </si>
  <si>
    <t xml:space="preserve">16</t>
  </si>
  <si>
    <t xml:space="preserve">Avocado de 1800</t>
  </si>
  <si>
    <t xml:space="preserve">-</t>
  </si>
  <si>
    <t xml:space="preserve">Avocado grand 3</t>
  </si>
  <si>
    <t xml:space="preserve">27</t>
  </si>
  <si>
    <t xml:space="preserve">Ballon de 1300</t>
  </si>
  <si>
    <t xml:space="preserve">05</t>
  </si>
  <si>
    <t xml:space="preserve">Bande à fleur</t>
  </si>
  <si>
    <t xml:space="preserve">28</t>
  </si>
  <si>
    <t xml:space="preserve">Bande cheveux petit</t>
  </si>
  <si>
    <t xml:space="preserve">2</t>
  </si>
  <si>
    <t xml:space="preserve">Bande chouchou</t>
  </si>
  <si>
    <t xml:space="preserve">Bande grand</t>
  </si>
  <si>
    <t xml:space="preserve">4</t>
  </si>
  <si>
    <t xml:space="preserve">Bande noir</t>
  </si>
  <si>
    <t xml:space="preserve">26</t>
  </si>
  <si>
    <t xml:space="preserve">Barrette blanc</t>
  </si>
  <si>
    <t xml:space="preserve">5dz6</t>
  </si>
  <si>
    <t xml:space="preserve">Renommer</t>
  </si>
  <si>
    <t xml:space="preserve">Barrette blanc grand</t>
  </si>
  <si>
    <t xml:space="preserve">Barrette multicolor</t>
  </si>
  <si>
    <t xml:space="preserve">1dz10</t>
  </si>
  <si>
    <t xml:space="preserve">Barrette enfant</t>
  </si>
  <si>
    <t xml:space="preserve">33</t>
  </si>
  <si>
    <t xml:space="preserve">Barrette grand</t>
  </si>
  <si>
    <t xml:space="preserve">07</t>
  </si>
  <si>
    <t xml:space="preserve">Barrette mariage</t>
  </si>
  <si>
    <t xml:space="preserve">04</t>
  </si>
  <si>
    <t xml:space="preserve">Barrette papillon</t>
  </si>
  <si>
    <t xml:space="preserve">5dz</t>
  </si>
  <si>
    <t xml:space="preserve">Barrette petit</t>
  </si>
  <si>
    <t xml:space="preserve">07dz</t>
  </si>
  <si>
    <t xml:space="preserve">40dz</t>
  </si>
  <si>
    <t xml:space="preserve">Barrette piquet</t>
  </si>
  <si>
    <t xml:space="preserve">94</t>
  </si>
  <si>
    <t xml:space="preserve">Barrette piquet grand</t>
  </si>
  <si>
    <t xml:space="preserve">08</t>
  </si>
  <si>
    <t xml:space="preserve">Black Magic</t>
  </si>
  <si>
    <t xml:space="preserve">Stock vide sur la fiche</t>
  </si>
  <si>
    <t xml:space="preserve">Bobine chiffon</t>
  </si>
  <si>
    <t xml:space="preserve">14</t>
  </si>
  <si>
    <t xml:space="preserve">Bobine grand</t>
  </si>
  <si>
    <t xml:space="preserve">24</t>
  </si>
  <si>
    <t xml:space="preserve">Bobine petit</t>
  </si>
  <si>
    <t xml:space="preserve">Bobine plastique</t>
  </si>
  <si>
    <t xml:space="preserve">19</t>
  </si>
  <si>
    <t xml:space="preserve">Boîte de produit</t>
  </si>
  <si>
    <t xml:space="preserve">Boucle en fer</t>
  </si>
  <si>
    <t xml:space="preserve">4dz+5</t>
  </si>
  <si>
    <t xml:space="preserve">Bougie grand</t>
  </si>
  <si>
    <t xml:space="preserve">60</t>
  </si>
  <si>
    <t xml:space="preserve">Bougie petit</t>
  </si>
  <si>
    <t xml:space="preserve">64</t>
  </si>
  <si>
    <t xml:space="preserve">Brosse grand</t>
  </si>
  <si>
    <t xml:space="preserve">20</t>
  </si>
  <si>
    <t xml:space="preserve">Brosse moyen</t>
  </si>
  <si>
    <t xml:space="preserve">30</t>
  </si>
  <si>
    <t xml:space="preserve">Brosse petit</t>
  </si>
  <si>
    <t xml:space="preserve">32</t>
  </si>
  <si>
    <t xml:space="preserve">Brosse rond</t>
  </si>
  <si>
    <t xml:space="preserve">Brosse still</t>
  </si>
  <si>
    <t xml:space="preserve">Cache visage</t>
  </si>
  <si>
    <t xml:space="preserve">12</t>
  </si>
  <si>
    <t xml:space="preserve">Champoing élan</t>
  </si>
  <si>
    <t xml:space="preserve">23</t>
  </si>
  <si>
    <t xml:space="preserve">Champoing Tip Top</t>
  </si>
  <si>
    <t xml:space="preserve">13</t>
  </si>
  <si>
    <t xml:space="preserve">Champoing tokpa grand</t>
  </si>
  <si>
    <t xml:space="preserve">5dz8</t>
  </si>
  <si>
    <t xml:space="preserve">Champoing tokpa petit</t>
  </si>
  <si>
    <t xml:space="preserve">71</t>
  </si>
  <si>
    <t xml:space="preserve">-6</t>
  </si>
  <si>
    <t xml:space="preserve">Chapeau de bain</t>
  </si>
  <si>
    <t xml:space="preserve">40</t>
  </si>
  <si>
    <t xml:space="preserve">Chapeau cheveux grand</t>
  </si>
  <si>
    <t xml:space="preserve">1</t>
  </si>
  <si>
    <t xml:space="preserve">Chapeau cheveux petit</t>
  </si>
  <si>
    <t xml:space="preserve">Chapeau de nuit</t>
  </si>
  <si>
    <t xml:space="preserve">21</t>
  </si>
  <si>
    <t xml:space="preserve">Cheveux closure</t>
  </si>
  <si>
    <t xml:space="preserve">Chiffon coiffé petit</t>
  </si>
  <si>
    <t xml:space="preserve">06</t>
  </si>
  <si>
    <t xml:space="preserve">Chiffon grand</t>
  </si>
  <si>
    <t xml:space="preserve">Chouchou baby</t>
  </si>
  <si>
    <t xml:space="preserve">Chouchou bonbon</t>
  </si>
  <si>
    <t xml:space="preserve">29</t>
  </si>
  <si>
    <t xml:space="preserve">Chouchou boule grand</t>
  </si>
  <si>
    <t xml:space="preserve">Chouchou boule petit</t>
  </si>
  <si>
    <t xml:space="preserve">02</t>
  </si>
  <si>
    <t xml:space="preserve">Chouchou de 100 (enfant)</t>
  </si>
  <si>
    <t xml:space="preserve">Chouchou de 150</t>
  </si>
  <si>
    <t xml:space="preserve">5dz3</t>
  </si>
  <si>
    <t xml:space="preserve">Chouchou en 200f</t>
  </si>
  <si>
    <t xml:space="preserve">1dz2</t>
  </si>
  <si>
    <t xml:space="preserve">Chouchou fleur</t>
  </si>
  <si>
    <t xml:space="preserve">03</t>
  </si>
  <si>
    <t xml:space="preserve">Chouchou grand de 300 (adulte)</t>
  </si>
  <si>
    <t xml:space="preserve">Chouchou papillon</t>
  </si>
  <si>
    <t xml:space="preserve">5dz9</t>
  </si>
  <si>
    <t xml:space="preserve">Chouchou perle grand</t>
  </si>
  <si>
    <t xml:space="preserve">3dz2</t>
  </si>
  <si>
    <t xml:space="preserve">Chouchou perle nœud</t>
  </si>
  <si>
    <t xml:space="preserve">Chouchou perle petit</t>
  </si>
  <si>
    <t xml:space="preserve">2dz3</t>
  </si>
  <si>
    <t xml:space="preserve">Chouchou pince</t>
  </si>
  <si>
    <t xml:space="preserve">Ciseau de 250</t>
  </si>
  <si>
    <t xml:space="preserve">Ciseau de 400</t>
  </si>
  <si>
    <t xml:space="preserve">34</t>
  </si>
  <si>
    <t xml:space="preserve">Ciseau de 500</t>
  </si>
  <si>
    <t xml:space="preserve">Closure petit de 2 rait</t>
  </si>
  <si>
    <t xml:space="preserve">Colle active</t>
  </si>
  <si>
    <t xml:space="preserve">Colle frontale grand</t>
  </si>
  <si>
    <t xml:space="preserve">09</t>
  </si>
  <si>
    <t xml:space="preserve">Colle frontale petit</t>
  </si>
  <si>
    <t xml:space="preserve">Colle petit 500/1350</t>
  </si>
  <si>
    <t xml:space="preserve">10</t>
  </si>
  <si>
    <t xml:space="preserve">Retirer</t>
  </si>
  <si>
    <t xml:space="preserve">Colle Ultra</t>
  </si>
  <si>
    <t xml:space="preserve">Absent de la fiche : Maman dit de le retirer</t>
  </si>
  <si>
    <t xml:space="preserve">Coton petit</t>
  </si>
  <si>
    <t xml:space="preserve">44</t>
  </si>
  <si>
    <t xml:space="preserve">Crochet long</t>
  </si>
  <si>
    <t xml:space="preserve">Crochet rasta 1 boue</t>
  </si>
  <si>
    <t xml:space="preserve">41</t>
  </si>
  <si>
    <t xml:space="preserve">Crochet rasta à 2 bouches</t>
  </si>
  <si>
    <t xml:space="preserve">Crochet rasta à 3 bouches</t>
  </si>
  <si>
    <t xml:space="preserve">Crochet rose</t>
  </si>
  <si>
    <t xml:space="preserve">Crochet rose grand</t>
  </si>
  <si>
    <t xml:space="preserve">Dallas grand 3/4400</t>
  </si>
  <si>
    <t xml:space="preserve">Dallas moyen 3/2300</t>
  </si>
  <si>
    <t xml:space="preserve">17</t>
  </si>
  <si>
    <t xml:space="preserve">Dallas petit</t>
  </si>
  <si>
    <t xml:space="preserve">48</t>
  </si>
  <si>
    <t xml:space="preserve">Dermatol</t>
  </si>
  <si>
    <t xml:space="preserve">00</t>
  </si>
  <si>
    <t xml:space="preserve">36</t>
  </si>
  <si>
    <t xml:space="preserve">Dissolvant grand</t>
  </si>
  <si>
    <t xml:space="preserve">Nouveau prix « (1200) » écrit à côté du nom</t>
  </si>
  <si>
    <t xml:space="preserve">Dissolvant petit</t>
  </si>
  <si>
    <t xml:space="preserve">6dz7</t>
  </si>
  <si>
    <t xml:space="preserve">Elastique</t>
  </si>
  <si>
    <t xml:space="preserve">14dz10</t>
  </si>
  <si>
    <t xml:space="preserve">4dz+46dz</t>
  </si>
  <si>
    <t xml:space="preserve">Confirmé par Maman</t>
  </si>
  <si>
    <t xml:space="preserve">Emballage</t>
  </si>
  <si>
    <t xml:space="preserve">9dz3</t>
  </si>
  <si>
    <t xml:space="preserve">Faux cil complet</t>
  </si>
  <si>
    <t xml:space="preserve">50</t>
  </si>
  <si>
    <t xml:space="preserve">Faux cil en boîte</t>
  </si>
  <si>
    <t xml:space="preserve">Faux cils cherry</t>
  </si>
  <si>
    <t xml:space="preserve">2dz11</t>
  </si>
  <si>
    <t xml:space="preserve">Faux cils détail</t>
  </si>
  <si>
    <t xml:space="preserve">2dz6</t>
  </si>
  <si>
    <t xml:space="preserve">Fer à lisser grand</t>
  </si>
  <si>
    <t xml:space="preserve">Fer en peigne</t>
  </si>
  <si>
    <t xml:space="preserve">01</t>
  </si>
  <si>
    <t xml:space="preserve">Fil Grand</t>
  </si>
  <si>
    <t xml:space="preserve">FIL Petit</t>
  </si>
  <si>
    <t xml:space="preserve">25</t>
  </si>
  <si>
    <t xml:space="preserve">Filet bande</t>
  </si>
  <si>
    <t xml:space="preserve">Filet closure demi</t>
  </si>
  <si>
    <t xml:space="preserve">Filet closure petit</t>
  </si>
  <si>
    <t xml:space="preserve">Filet naturel perruque closure</t>
  </si>
  <si>
    <t xml:space="preserve">5</t>
  </si>
  <si>
    <t xml:space="preserve">Filet perruque</t>
  </si>
  <si>
    <t xml:space="preserve">16dz5</t>
  </si>
  <si>
    <t xml:space="preserve">3dz</t>
  </si>
  <si>
    <t xml:space="preserve">Filet soutien closure</t>
  </si>
  <si>
    <t xml:space="preserve">78</t>
  </si>
  <si>
    <t xml:space="preserve">Filet soutien sans closure</t>
  </si>
  <si>
    <t xml:space="preserve">Filets chignons</t>
  </si>
  <si>
    <t xml:space="preserve">17dz5</t>
  </si>
  <si>
    <t xml:space="preserve">Fleur de baptême</t>
  </si>
  <si>
    <t xml:space="preserve">Garde cheveux</t>
  </si>
  <si>
    <t xml:space="preserve">Gel pétal grand</t>
  </si>
  <si>
    <t xml:space="preserve">Gel pétales blancs</t>
  </si>
  <si>
    <t xml:space="preserve">Gel pétals moyen</t>
  </si>
  <si>
    <t xml:space="preserve">Gel pétals petit</t>
  </si>
  <si>
    <t xml:space="preserve">42</t>
  </si>
  <si>
    <t xml:space="preserve">Geleco Eko</t>
  </si>
  <si>
    <t xml:space="preserve">Gomme</t>
  </si>
  <si>
    <t xml:space="preserve">Huile Luodais</t>
  </si>
  <si>
    <t xml:space="preserve">Huile Luôdaïs carton</t>
  </si>
  <si>
    <t xml:space="preserve">Huile Luodoïs au lait</t>
  </si>
  <si>
    <t xml:space="preserve">Huile naturel</t>
  </si>
  <si>
    <t xml:space="preserve">Huile Xpression</t>
  </si>
  <si>
    <t xml:space="preserve">King fa</t>
  </si>
  <si>
    <t xml:space="preserve">Lac à huile</t>
  </si>
  <si>
    <t xml:space="preserve">like à huile petit</t>
  </si>
  <si>
    <t xml:space="preserve">22</t>
  </si>
  <si>
    <t xml:space="preserve">Like à mousse Grand</t>
  </si>
  <si>
    <t xml:space="preserve">Like à mousse petit</t>
  </si>
  <si>
    <t xml:space="preserve">Like à sec G</t>
  </si>
  <si>
    <t xml:space="preserve">Like à sec Petit</t>
  </si>
  <si>
    <t xml:space="preserve">Like argan</t>
  </si>
  <si>
    <t xml:space="preserve">Like merling</t>
  </si>
  <si>
    <t xml:space="preserve">Lime chiffon</t>
  </si>
  <si>
    <t xml:space="preserve">Lime en bois</t>
  </si>
  <si>
    <t xml:space="preserve">79</t>
  </si>
  <si>
    <t xml:space="preserve">Lime en bois blanc</t>
  </si>
  <si>
    <t xml:space="preserve">51</t>
  </si>
  <si>
    <t xml:space="preserve">Chiffre surchargé (51 ?)</t>
  </si>
  <si>
    <t xml:space="preserve">Limé en fer</t>
  </si>
  <si>
    <t xml:space="preserve">Lisseur petit</t>
  </si>
  <si>
    <t xml:space="preserve">Lotion dallas</t>
  </si>
  <si>
    <t xml:space="preserve">Mayonnaise</t>
  </si>
  <si>
    <t xml:space="preserve">Mayonnaise lala</t>
  </si>
  <si>
    <t xml:space="preserve">Mayonnaise olive de 3000</t>
  </si>
  <si>
    <t xml:space="preserve">Mayonnaise petit</t>
  </si>
  <si>
    <t xml:space="preserve">Méga détail</t>
  </si>
  <si>
    <t xml:space="preserve">Chiffre surchargé (60 ?)</t>
  </si>
  <si>
    <t xml:space="preserve">Méga en carton de 12</t>
  </si>
  <si>
    <t xml:space="preserve">Neutralisant</t>
  </si>
  <si>
    <t xml:space="preserve">Ongle 200</t>
  </si>
  <si>
    <t xml:space="preserve">2dz4</t>
  </si>
  <si>
    <t xml:space="preserve">Ongle blanc 3/250</t>
  </si>
  <si>
    <t xml:space="preserve">42dz4</t>
  </si>
  <si>
    <t xml:space="preserve">Ongle couleur 150</t>
  </si>
  <si>
    <t xml:space="preserve">Ongle de 1200</t>
  </si>
  <si>
    <t xml:space="preserve">Ongle de 250</t>
  </si>
  <si>
    <t xml:space="preserve">6dz5</t>
  </si>
  <si>
    <t xml:space="preserve">30dz</t>
  </si>
  <si>
    <t xml:space="preserve">Ongle en boîte</t>
  </si>
  <si>
    <t xml:space="preserve">Owie persé….</t>
  </si>
  <si>
    <t xml:space="preserve">Passion</t>
  </si>
  <si>
    <t xml:space="preserve">Passion twist</t>
  </si>
  <si>
    <t xml:space="preserve">Peigne à larme</t>
  </si>
  <si>
    <t xml:space="preserve">15</t>
  </si>
  <si>
    <t xml:space="preserve">Peigne à produit</t>
  </si>
  <si>
    <t xml:space="preserve">Peigne à queue en fer</t>
  </si>
  <si>
    <t xml:space="preserve">2dz</t>
  </si>
  <si>
    <t xml:space="preserve">Peigne à queue Petit</t>
  </si>
  <si>
    <t xml:space="preserve">Peigne afro</t>
  </si>
  <si>
    <t xml:space="preserve">3dz35</t>
  </si>
  <si>
    <t xml:space="preserve">Confirmé : 3dz + 35</t>
  </si>
  <si>
    <t xml:space="preserve">Peigne Afro en fer</t>
  </si>
  <si>
    <t xml:space="preserve">Peigne afro petit</t>
  </si>
  <si>
    <t xml:space="preserve">Peigne afro petit de 100</t>
  </si>
  <si>
    <t xml:space="preserve">1dz</t>
  </si>
  <si>
    <t xml:space="preserve">Ajouter</t>
  </si>
  <si>
    <t xml:space="preserve">Peigne afro petit de 150</t>
  </si>
  <si>
    <t xml:space="preserve">0</t>
  </si>
  <si>
    <t xml:space="preserve">Nouveau (séparé du Peigne afro petit de 100)</t>
  </si>
  <si>
    <t xml:space="preserve">Peigne complet</t>
  </si>
  <si>
    <t xml:space="preserve">Perle de 4000</t>
  </si>
  <si>
    <t xml:space="preserve">6</t>
  </si>
  <si>
    <t xml:space="preserve">-3</t>
  </si>
  <si>
    <t xml:space="preserve">Peigne grand</t>
  </si>
  <si>
    <t xml:space="preserve">Peigne grand à queue</t>
  </si>
  <si>
    <t xml:space="preserve">75</t>
  </si>
  <si>
    <t xml:space="preserve">Peigne moyen</t>
  </si>
  <si>
    <t xml:space="preserve">Peigne râteau</t>
  </si>
  <si>
    <t xml:space="preserve">Peigne rond</t>
  </si>
  <si>
    <t xml:space="preserve">Perle de 2500</t>
  </si>
  <si>
    <t xml:space="preserve">12.5</t>
  </si>
  <si>
    <t xml:space="preserve">-8</t>
  </si>
  <si>
    <t xml:space="preserve">Maman : 12 et demi (vendu à la demi-unité)</t>
  </si>
  <si>
    <t xml:space="preserve">Perle de 3000</t>
  </si>
  <si>
    <t xml:space="preserve">10.75</t>
  </si>
  <si>
    <t xml:space="preserve">Garder « Perle de 3000 » ; peu lisible</t>
  </si>
  <si>
    <t xml:space="preserve">Perle de 3500</t>
  </si>
  <si>
    <t xml:space="preserve">Ajouté : stock 0 (confirmé par Maman)</t>
  </si>
  <si>
    <t xml:space="preserve">Perle de 500</t>
  </si>
  <si>
    <t xml:space="preserve">70</t>
  </si>
  <si>
    <t xml:space="preserve">Perle paquet de 1800</t>
  </si>
  <si>
    <t xml:space="preserve">-2</t>
  </si>
  <si>
    <t xml:space="preserve">Pétal one grand</t>
  </si>
  <si>
    <t xml:space="preserve">« -3 » écrit à côté du nom</t>
  </si>
  <si>
    <t xml:space="preserve">Piques</t>
  </si>
  <si>
    <t xml:space="preserve">Pince grand</t>
  </si>
  <si>
    <t xml:space="preserve">Pommade cyndie</t>
  </si>
  <si>
    <t xml:space="preserve">Poudre produit GBB</t>
  </si>
  <si>
    <t xml:space="preserve">Produit ABC petit</t>
  </si>
  <si>
    <t xml:space="preserve">76</t>
  </si>
  <si>
    <t xml:space="preserve">Produit BO-16</t>
  </si>
  <si>
    <t xml:space="preserve">Produit Casetimes</t>
  </si>
  <si>
    <t xml:space="preserve">Produit Dallas</t>
  </si>
  <si>
    <t xml:space="preserve">Produit olive</t>
  </si>
  <si>
    <t xml:space="preserve">Produit optimal</t>
  </si>
  <si>
    <t xml:space="preserve">Rouleau noir coiffeuse</t>
  </si>
  <si>
    <t xml:space="preserve">Ruban brillant</t>
  </si>
  <si>
    <t xml:space="preserve">Ruban petit</t>
  </si>
  <si>
    <t xml:space="preserve">Ruban simple</t>
  </si>
  <si>
    <t xml:space="preserve">Sachet petit</t>
  </si>
  <si>
    <t xml:space="preserve">Entrée « 06 » barrée</t>
  </si>
  <si>
    <t xml:space="preserve">Sans colle</t>
  </si>
  <si>
    <t xml:space="preserve">Scotche</t>
  </si>
  <si>
    <t xml:space="preserve">Séchoir</t>
  </si>
  <si>
    <t xml:space="preserve">Secret</t>
  </si>
  <si>
    <t xml:space="preserve">Soleil petit</t>
  </si>
  <si>
    <t xml:space="preserve">9</t>
  </si>
  <si>
    <t xml:space="preserve">« -3 » écrit à côté du nom et « +9 » en entrée</t>
  </si>
  <si>
    <t xml:space="preserve">Soleil grand</t>
  </si>
  <si>
    <t xml:space="preserve">Soleil petit faux</t>
  </si>
  <si>
    <t xml:space="preserve">Super glu grand</t>
  </si>
  <si>
    <t xml:space="preserve">Super glu petit</t>
  </si>
  <si>
    <t xml:space="preserve">Super glue</t>
  </si>
  <si>
    <t xml:space="preserve">Taille ongle</t>
  </si>
  <si>
    <t xml:space="preserve">17dz10</t>
  </si>
  <si>
    <t xml:space="preserve">Taille ongle original</t>
  </si>
  <si>
    <t xml:space="preserve">Tam tam couleur</t>
  </si>
  <si>
    <t xml:space="preserve">67</t>
  </si>
  <si>
    <t xml:space="preserve">Tam tam yizia</t>
  </si>
  <si>
    <t xml:space="preserve">31</t>
  </si>
  <si>
    <t xml:space="preserve">Tam-tam got 26</t>
  </si>
  <si>
    <t xml:space="preserve">Tam-Tam got 26 jaune</t>
  </si>
  <si>
    <t xml:space="preserve">Tam-Tam olive petit</t>
  </si>
  <si>
    <t xml:space="preserve">8</t>
  </si>
  <si>
    <t xml:space="preserve">Tam-tam overa</t>
  </si>
  <si>
    <t xml:space="preserve">Tam-tam xblock</t>
  </si>
  <si>
    <t xml:space="preserve">Tam-tam xblock (créé au 1er import)</t>
  </si>
  <si>
    <t xml:space="preserve">Tam-tam xblock (doublon vide)</t>
  </si>
  <si>
    <t xml:space="preserve">Doublon : l'article vide créé au 1er import est à retirer, Tam-tam overa est renommé à sa place</t>
  </si>
  <si>
    <t xml:space="preserve">Teinte chinois</t>
  </si>
  <si>
    <t xml:space="preserve">180</t>
  </si>
  <si>
    <t xml:space="preserve">Teinte cruset 3/1200</t>
  </si>
  <si>
    <t xml:space="preserve">Teinte subaru 400/3000</t>
  </si>
  <si>
    <t xml:space="preserve">11</t>
  </si>
  <si>
    <t xml:space="preserve">-10</t>
  </si>
  <si>
    <t xml:space="preserve">« -10 » écrit à côté du nom</t>
  </si>
  <si>
    <t xml:space="preserve">Teinte tancho</t>
  </si>
  <si>
    <t xml:space="preserve">Tête cheveux</t>
  </si>
  <si>
    <t xml:space="preserve">Tête grande</t>
  </si>
  <si>
    <t xml:space="preserve">Tête ronde</t>
  </si>
  <si>
    <t xml:space="preserve">Vernis couleur</t>
  </si>
  <si>
    <t xml:space="preserve">Vernis neutre</t>
  </si>
  <si>
    <t xml:space="preserve">4dz</t>
  </si>
  <si>
    <t xml:space="preserve">Sans colle moyen</t>
  </si>
  <si>
    <t xml:space="preserve">Produit Béba</t>
  </si>
  <si>
    <t xml:space="preserve">Frontale</t>
  </si>
  <si>
    <t xml:space="preserve">Push Pin</t>
  </si>
  <si>
    <t xml:space="preserve">Fer à boucler</t>
  </si>
  <si>
    <t xml:space="preserve">Lac fin mousse</t>
  </si>
  <si>
    <t xml:space="preserve">Pommade Apple</t>
  </si>
  <si>
    <t xml:space="preserve">Sans colle grand</t>
  </si>
  <si>
    <t xml:space="preserve">Masque cheveux</t>
  </si>
  <si>
    <t xml:space="preserve">Fer à brosse</t>
  </si>
  <si>
    <t xml:space="preserve">Boîte à pied</t>
  </si>
  <si>
    <t xml:space="preserve">« 02b » ?</t>
  </si>
  <si>
    <t xml:space="preserve">Boîte à lotion</t>
  </si>
  <si>
    <t xml:space="preserve">Chouchou de 500</t>
  </si>
  <si>
    <t xml:space="preserve">Chouchou bébé</t>
  </si>
  <si>
    <t xml:space="preserve">Chouchou simple</t>
  </si>
  <si>
    <t xml:space="preserve">Chouchou boîte</t>
  </si>
  <si>
    <t xml:space="preserve">Chouchou cœur</t>
  </si>
  <si>
    <t xml:space="preserve">Coris attaché</t>
  </si>
  <si>
    <t xml:space="preserve">118</t>
  </si>
  <si>
    <t xml:space="preserve">Pommade Elan</t>
  </si>
  <si>
    <t xml:space="preserve">Pommade Herbal</t>
  </si>
  <si>
    <t xml:space="preserve">Séchoir petit</t>
  </si>
  <si>
    <t xml:space="preserve">Fer à lisser petit</t>
  </si>
  <si>
    <t xml:space="preserve">Faux cil plaquette</t>
  </si>
  <si>
    <t xml:space="preserve">Liquide teinte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</si>
</sst>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7306B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7306B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E4E7F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7306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4E7F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4E7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06B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2" t="s">
        <v>1</v>
      </c>
      <c r="B3" s="2"/>
    </row>
    <row r="4" customFormat="false" ht="15" hidden="false" customHeight="false" outlineLevel="0" collapsed="false">
      <c r="A4" s="2" t="s">
        <v>2</v>
      </c>
      <c r="B4" s="2"/>
    </row>
    <row r="5" customFormat="false" ht="26.85" hidden="false" customHeight="false" outlineLevel="0" collapsed="false">
      <c r="A5" s="2" t="s">
        <v>3</v>
      </c>
      <c r="B5" s="2"/>
    </row>
    <row r="6" customFormat="false" ht="15" hidden="false" customHeight="false" outlineLevel="0" collapsed="false">
      <c r="A6" s="2" t="s">
        <v>4</v>
      </c>
      <c r="B6" s="2"/>
    </row>
    <row r="7" customFormat="false" ht="15" hidden="false" customHeight="false" outlineLevel="0" collapsed="false">
      <c r="A7" s="2" t="s">
        <v>5</v>
      </c>
      <c r="B7" s="2"/>
    </row>
    <row r="8" customFormat="false" ht="15" hidden="false" customHeight="false" outlineLevel="0" collapsed="false">
      <c r="A8" s="2"/>
      <c r="B8" s="2"/>
    </row>
    <row r="9" customFormat="false" ht="26.85" hidden="false" customHeight="false" outlineLevel="0" collapsed="false">
      <c r="A9" s="2" t="s">
        <v>6</v>
      </c>
      <c r="B9" s="2"/>
    </row>
    <row r="10" customFormat="false" ht="26.85" hidden="false" customHeight="false" outlineLevel="0" collapsed="false">
      <c r="A10" s="2" t="s">
        <v>7</v>
      </c>
      <c r="B10" s="2"/>
    </row>
    <row r="11" customFormat="false" ht="15" hidden="false" customHeight="false" outlineLevel="0" collapsed="false">
      <c r="A11" s="2"/>
      <c r="B11" s="2"/>
    </row>
    <row r="12" customFormat="false" ht="26.85" hidden="false" customHeight="false" outlineLevel="0" collapsed="false">
      <c r="A12" s="2" t="s">
        <v>8</v>
      </c>
      <c r="B12" s="2"/>
    </row>
    <row r="13" customFormat="false" ht="15" hidden="false" customHeight="false" outlineLevel="0" collapsed="false">
      <c r="A13" s="2"/>
      <c r="B13" s="2"/>
    </row>
    <row r="14" customFormat="false" ht="39.55" hidden="false" customHeight="false" outlineLevel="0" collapsed="false">
      <c r="A14" s="2" t="s">
        <v>9</v>
      </c>
      <c r="B14" s="2"/>
    </row>
    <row r="15" customFormat="false" ht="26.85" hidden="false" customHeight="false" outlineLevel="0" collapsed="false">
      <c r="A15" s="2" t="s">
        <v>10</v>
      </c>
      <c r="B15" s="2"/>
    </row>
    <row r="16" customFormat="false" ht="26.85" hidden="false" customHeight="false" outlineLevel="0" collapsed="false">
      <c r="A16" s="2" t="s">
        <v>11</v>
      </c>
      <c r="B16" s="2"/>
    </row>
    <row r="17" customFormat="false" ht="15" hidden="false" customHeight="false" outlineLevel="0" collapsed="false">
      <c r="A17" s="2"/>
      <c r="B17" s="2"/>
    </row>
    <row r="18" customFormat="false" ht="15" hidden="false" customHeight="false" outlineLevel="0" collapsed="false">
      <c r="A18" s="2" t="s">
        <v>12</v>
      </c>
      <c r="B18" s="2"/>
    </row>
    <row r="19" customFormat="false" ht="15" hidden="false" customHeight="false" outlineLevel="0" collapsed="false">
      <c r="A19" s="2" t="s">
        <v>13</v>
      </c>
      <c r="B19" s="2" t="n">
        <f aca="false">COUNTA('Import produits'!D2:D229)</f>
        <v>228</v>
      </c>
    </row>
    <row r="20" customFormat="false" ht="15" hidden="false" customHeight="false" outlineLevel="0" collapsed="false">
      <c r="A20" s="2" t="s">
        <v>14</v>
      </c>
      <c r="B20" s="2" t="n">
        <f aca="false">COUNT('Import produits'!O2:O229)</f>
        <v>228</v>
      </c>
    </row>
    <row r="21" customFormat="false" ht="15" hidden="false" customHeight="false" outlineLevel="0" collapsed="false">
      <c r="A21" s="2" t="s">
        <v>15</v>
      </c>
      <c r="B21" s="2" t="n">
        <f aca="false">COUNTIF('Import produits'!O2:O229,"à compléter")</f>
        <v>0</v>
      </c>
    </row>
    <row r="22" customFormat="false" ht="15" hidden="false" customHeight="false" outlineLevel="0" collapsed="false">
      <c r="A22" s="2" t="s">
        <v>16</v>
      </c>
      <c r="B22" s="2" t="n">
        <f aca="false">COUNTIF('Import produits'!P2:P229,"*incertaine*")</f>
        <v>0</v>
      </c>
    </row>
    <row r="23" customFormat="false" ht="15" hidden="false" customHeight="false" outlineLevel="0" collapsed="false">
      <c r="A23" s="2" t="s">
        <v>17</v>
      </c>
      <c r="B23" s="2" t="n">
        <f aca="false">COUNTBLANK('Import produits'!F2:F229)</f>
        <v>5</v>
      </c>
    </row>
    <row r="24" customFormat="false" ht="15" hidden="false" customHeight="false" outlineLevel="0" collapsed="false">
      <c r="A24" s="2" t="s">
        <v>18</v>
      </c>
      <c r="B24" s="2" t="n">
        <f aca="false">COUNTBLANK('Import produits'!Q2:Q229)</f>
        <v>205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4" min="3" style="0" width="26"/>
    <col collapsed="false" customWidth="true" hidden="false" outlineLevel="0" max="7" min="5" style="0" width="10"/>
    <col collapsed="false" customWidth="true" hidden="false" outlineLevel="0" max="8" min="8" style="0" width="11"/>
    <col collapsed="false" customWidth="true" hidden="false" outlineLevel="0" max="9" min="9" style="0" width="8"/>
    <col collapsed="false" customWidth="true" hidden="false" outlineLevel="0" max="10" min="10" style="0" width="11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4" min="14" style="0" width="10"/>
    <col collapsed="false" customWidth="true" hidden="false" outlineLevel="0" max="15" min="15" style="0" width="13"/>
    <col collapsed="false" customWidth="true" hidden="false" outlineLevel="0" max="16" min="16" style="0" width="40"/>
    <col collapsed="false" customWidth="true" hidden="false" outlineLevel="0" max="17" min="17" style="0" width="16"/>
  </cols>
  <sheetData>
    <row r="1" customFormat="false" ht="45" hidden="false" customHeight="true" outlineLevel="0" collapsed="false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  <c r="I1" s="3" t="s">
        <v>27</v>
      </c>
      <c r="J1" s="3" t="s">
        <v>28</v>
      </c>
      <c r="K1" s="3" t="s">
        <v>29</v>
      </c>
      <c r="L1" s="3" t="s">
        <v>30</v>
      </c>
      <c r="M1" s="3" t="s">
        <v>31</v>
      </c>
      <c r="N1" s="3" t="s">
        <v>32</v>
      </c>
      <c r="O1" s="3" t="s">
        <v>33</v>
      </c>
      <c r="P1" s="3" t="s">
        <v>34</v>
      </c>
      <c r="Q1" s="3" t="s">
        <v>35</v>
      </c>
    </row>
    <row r="2" customFormat="false" ht="15" hidden="false" customHeight="false" outlineLevel="0" collapsed="false">
      <c r="A2" s="4" t="n">
        <v>1</v>
      </c>
      <c r="B2" s="4" t="s">
        <v>36</v>
      </c>
      <c r="C2" s="4" t="s">
        <v>37</v>
      </c>
      <c r="D2" s="4" t="s">
        <v>37</v>
      </c>
      <c r="E2" s="4" t="s">
        <v>38</v>
      </c>
      <c r="F2" s="4" t="n">
        <v>170</v>
      </c>
      <c r="G2" s="4" t="s">
        <v>39</v>
      </c>
      <c r="H2" s="4"/>
      <c r="I2" s="4"/>
      <c r="J2" s="4" t="n">
        <v>87</v>
      </c>
      <c r="K2" s="4"/>
      <c r="L2" s="4"/>
      <c r="M2" s="4"/>
      <c r="N2" s="4"/>
      <c r="O2" s="5" t="n">
        <f aca="false">IF(AND(J2="",K2="",M2=""),"",IF(OR(AND(N(K2)&gt;0,L2=""),AND(N(M2)&gt;0,N2="")),"à compléter",N(J2)+N(K2)*N(L2)+N(M2)*N(N2)))</f>
        <v>87</v>
      </c>
      <c r="P2" s="4"/>
      <c r="Q2" s="6"/>
    </row>
    <row r="3" customFormat="false" ht="15" hidden="false" customHeight="false" outlineLevel="0" collapsed="false">
      <c r="A3" s="4" t="n">
        <v>2</v>
      </c>
      <c r="B3" s="4" t="s">
        <v>36</v>
      </c>
      <c r="C3" s="4" t="s">
        <v>40</v>
      </c>
      <c r="D3" s="4" t="s">
        <v>40</v>
      </c>
      <c r="E3" s="4" t="s">
        <v>38</v>
      </c>
      <c r="F3" s="4" t="n">
        <v>335</v>
      </c>
      <c r="G3" s="4" t="s">
        <v>41</v>
      </c>
      <c r="H3" s="4"/>
      <c r="I3" s="4"/>
      <c r="J3" s="4" t="n">
        <v>16</v>
      </c>
      <c r="K3" s="4"/>
      <c r="L3" s="4"/>
      <c r="M3" s="4"/>
      <c r="N3" s="4"/>
      <c r="O3" s="5" t="n">
        <f aca="false">IF(AND(J3="",K3="",M3=""),"",IF(OR(AND(N(K3)&gt;0,L3=""),AND(N(M3)&gt;0,N3="")),"à compléter",N(J3)+N(K3)*N(L3)+N(M3)*N(N3)))</f>
        <v>16</v>
      </c>
      <c r="P3" s="4"/>
      <c r="Q3" s="6"/>
    </row>
    <row r="4" customFormat="false" ht="15" hidden="false" customHeight="false" outlineLevel="0" collapsed="false">
      <c r="A4" s="4" t="n">
        <v>3</v>
      </c>
      <c r="B4" s="4" t="s">
        <v>36</v>
      </c>
      <c r="C4" s="4" t="s">
        <v>42</v>
      </c>
      <c r="D4" s="4" t="s">
        <v>42</v>
      </c>
      <c r="E4" s="4" t="s">
        <v>38</v>
      </c>
      <c r="F4" s="4" t="n">
        <v>1800</v>
      </c>
      <c r="G4" s="4" t="s">
        <v>43</v>
      </c>
      <c r="H4" s="4"/>
      <c r="I4" s="4"/>
      <c r="J4" s="4" t="n">
        <v>0</v>
      </c>
      <c r="K4" s="4"/>
      <c r="L4" s="4"/>
      <c r="M4" s="4"/>
      <c r="N4" s="4"/>
      <c r="O4" s="5" t="n">
        <f aca="false">IF(AND(J4="",K4="",M4=""),"",IF(OR(AND(N(K4)&gt;0,L4=""),AND(N(M4)&gt;0,N4="")),"à compléter",N(J4)+N(K4)*N(L4)+N(M4)*N(N4)))</f>
        <v>0</v>
      </c>
      <c r="P4" s="4"/>
      <c r="Q4" s="6"/>
    </row>
    <row r="5" customFormat="false" ht="15" hidden="false" customHeight="false" outlineLevel="0" collapsed="false">
      <c r="A5" s="4" t="n">
        <v>4</v>
      </c>
      <c r="B5" s="4" t="s">
        <v>36</v>
      </c>
      <c r="C5" s="4" t="s">
        <v>44</v>
      </c>
      <c r="D5" s="4" t="s">
        <v>44</v>
      </c>
      <c r="E5" s="4" t="s">
        <v>38</v>
      </c>
      <c r="F5" s="4" t="n">
        <v>1100</v>
      </c>
      <c r="G5" s="4" t="s">
        <v>45</v>
      </c>
      <c r="H5" s="4"/>
      <c r="I5" s="4"/>
      <c r="J5" s="4" t="n">
        <v>27</v>
      </c>
      <c r="K5" s="4"/>
      <c r="L5" s="4"/>
      <c r="M5" s="4"/>
      <c r="N5" s="4"/>
      <c r="O5" s="5" t="n">
        <f aca="false">IF(AND(J5="",K5="",M5=""),"",IF(OR(AND(N(K5)&gt;0,L5=""),AND(N(M5)&gt;0,N5="")),"à compléter",N(J5)+N(K5)*N(L5)+N(M5)*N(N5)))</f>
        <v>27</v>
      </c>
      <c r="P5" s="4"/>
      <c r="Q5" s="6"/>
    </row>
    <row r="6" customFormat="false" ht="15" hidden="false" customHeight="false" outlineLevel="0" collapsed="false">
      <c r="A6" s="4" t="n">
        <v>5</v>
      </c>
      <c r="B6" s="4" t="s">
        <v>36</v>
      </c>
      <c r="C6" s="4" t="s">
        <v>46</v>
      </c>
      <c r="D6" s="4" t="s">
        <v>46</v>
      </c>
      <c r="E6" s="4" t="s">
        <v>38</v>
      </c>
      <c r="F6" s="4" t="n">
        <v>1300</v>
      </c>
      <c r="G6" s="4" t="s">
        <v>47</v>
      </c>
      <c r="H6" s="4"/>
      <c r="I6" s="4"/>
      <c r="J6" s="4" t="n">
        <v>5</v>
      </c>
      <c r="K6" s="4"/>
      <c r="L6" s="4"/>
      <c r="M6" s="4"/>
      <c r="N6" s="4"/>
      <c r="O6" s="5" t="n">
        <f aca="false">IF(AND(J6="",K6="",M6=""),"",IF(OR(AND(N(K6)&gt;0,L6=""),AND(N(M6)&gt;0,N6="")),"à compléter",N(J6)+N(K6)*N(L6)+N(M6)*N(N6)))</f>
        <v>5</v>
      </c>
      <c r="P6" s="4"/>
      <c r="Q6" s="6"/>
    </row>
    <row r="7" customFormat="false" ht="15" hidden="false" customHeight="false" outlineLevel="0" collapsed="false">
      <c r="A7" s="4" t="n">
        <v>6</v>
      </c>
      <c r="B7" s="4" t="s">
        <v>36</v>
      </c>
      <c r="C7" s="4" t="s">
        <v>48</v>
      </c>
      <c r="D7" s="4" t="s">
        <v>48</v>
      </c>
      <c r="E7" s="4" t="s">
        <v>38</v>
      </c>
      <c r="F7" s="4" t="n">
        <v>500</v>
      </c>
      <c r="G7" s="4" t="s">
        <v>49</v>
      </c>
      <c r="H7" s="4"/>
      <c r="I7" s="4"/>
      <c r="J7" s="4" t="n">
        <v>28</v>
      </c>
      <c r="K7" s="4"/>
      <c r="L7" s="4"/>
      <c r="M7" s="4"/>
      <c r="N7" s="4"/>
      <c r="O7" s="5" t="n">
        <f aca="false">IF(AND(J7="",K7="",M7=""),"",IF(OR(AND(N(K7)&gt;0,L7=""),AND(N(M7)&gt;0,N7="")),"à compléter",N(J7)+N(K7)*N(L7)+N(M7)*N(N7)))</f>
        <v>28</v>
      </c>
      <c r="P7" s="4"/>
      <c r="Q7" s="6"/>
    </row>
    <row r="8" customFormat="false" ht="15" hidden="false" customHeight="false" outlineLevel="0" collapsed="false">
      <c r="A8" s="4" t="n">
        <v>7</v>
      </c>
      <c r="B8" s="4" t="s">
        <v>36</v>
      </c>
      <c r="C8" s="4" t="s">
        <v>50</v>
      </c>
      <c r="D8" s="4" t="s">
        <v>50</v>
      </c>
      <c r="E8" s="4" t="s">
        <v>38</v>
      </c>
      <c r="F8" s="4" t="n">
        <v>300</v>
      </c>
      <c r="G8" s="4" t="s">
        <v>51</v>
      </c>
      <c r="H8" s="4"/>
      <c r="I8" s="4"/>
      <c r="J8" s="4" t="n">
        <v>2</v>
      </c>
      <c r="K8" s="4"/>
      <c r="L8" s="4"/>
      <c r="M8" s="4"/>
      <c r="N8" s="4"/>
      <c r="O8" s="5" t="n">
        <f aca="false">IF(AND(J8="",K8="",M8=""),"",IF(OR(AND(N(K8)&gt;0,L8=""),AND(N(M8)&gt;0,N8="")),"à compléter",N(J8)+N(K8)*N(L8)+N(M8)*N(N8)))</f>
        <v>2</v>
      </c>
      <c r="P8" s="4"/>
      <c r="Q8" s="6"/>
    </row>
    <row r="9" customFormat="false" ht="15" hidden="false" customHeight="false" outlineLevel="0" collapsed="false">
      <c r="A9" s="4" t="n">
        <v>8</v>
      </c>
      <c r="B9" s="4" t="s">
        <v>36</v>
      </c>
      <c r="C9" s="4" t="s">
        <v>52</v>
      </c>
      <c r="D9" s="4" t="s">
        <v>52</v>
      </c>
      <c r="E9" s="4" t="s">
        <v>38</v>
      </c>
      <c r="F9" s="4" t="n">
        <v>500</v>
      </c>
      <c r="G9" s="4" t="s">
        <v>51</v>
      </c>
      <c r="H9" s="4"/>
      <c r="I9" s="4"/>
      <c r="J9" s="4" t="n">
        <v>2</v>
      </c>
      <c r="K9" s="4"/>
      <c r="L9" s="4"/>
      <c r="M9" s="4"/>
      <c r="N9" s="4"/>
      <c r="O9" s="5" t="n">
        <f aca="false">IF(AND(J9="",K9="",M9=""),"",IF(OR(AND(N(K9)&gt;0,L9=""),AND(N(M9)&gt;0,N9="")),"à compléter",N(J9)+N(K9)*N(L9)+N(M9)*N(N9)))</f>
        <v>2</v>
      </c>
      <c r="P9" s="4"/>
      <c r="Q9" s="6"/>
    </row>
    <row r="10" customFormat="false" ht="15" hidden="false" customHeight="false" outlineLevel="0" collapsed="false">
      <c r="A10" s="4" t="n">
        <v>9</v>
      </c>
      <c r="B10" s="4" t="s">
        <v>36</v>
      </c>
      <c r="C10" s="4" t="s">
        <v>53</v>
      </c>
      <c r="D10" s="4" t="s">
        <v>53</v>
      </c>
      <c r="E10" s="4" t="s">
        <v>38</v>
      </c>
      <c r="F10" s="4" t="n">
        <v>500</v>
      </c>
      <c r="G10" s="4" t="s">
        <v>54</v>
      </c>
      <c r="H10" s="4"/>
      <c r="I10" s="4"/>
      <c r="J10" s="4" t="n">
        <v>4</v>
      </c>
      <c r="K10" s="4"/>
      <c r="L10" s="4"/>
      <c r="M10" s="4"/>
      <c r="N10" s="4"/>
      <c r="O10" s="5" t="n">
        <f aca="false">IF(AND(J10="",K10="",M10=""),"",IF(OR(AND(N(K10)&gt;0,L10=""),AND(N(M10)&gt;0,N10="")),"à compléter",N(J10)+N(K10)*N(L10)+N(M10)*N(N10)))</f>
        <v>4</v>
      </c>
      <c r="P10" s="4"/>
      <c r="Q10" s="6"/>
    </row>
    <row r="11" customFormat="false" ht="15" hidden="false" customHeight="false" outlineLevel="0" collapsed="false">
      <c r="A11" s="4" t="n">
        <v>10</v>
      </c>
      <c r="B11" s="4" t="s">
        <v>36</v>
      </c>
      <c r="C11" s="4" t="s">
        <v>55</v>
      </c>
      <c r="D11" s="4" t="s">
        <v>55</v>
      </c>
      <c r="E11" s="4" t="s">
        <v>38</v>
      </c>
      <c r="F11" s="4" t="n">
        <v>300</v>
      </c>
      <c r="G11" s="4" t="s">
        <v>56</v>
      </c>
      <c r="H11" s="4"/>
      <c r="I11" s="4"/>
      <c r="J11" s="4" t="n">
        <v>26</v>
      </c>
      <c r="K11" s="4"/>
      <c r="L11" s="4"/>
      <c r="M11" s="4"/>
      <c r="N11" s="4"/>
      <c r="O11" s="5" t="n">
        <f aca="false">IF(AND(J11="",K11="",M11=""),"",IF(OR(AND(N(K11)&gt;0,L11=""),AND(N(M11)&gt;0,N11="")),"à compléter",N(J11)+N(K11)*N(L11)+N(M11)*N(N11)))</f>
        <v>26</v>
      </c>
      <c r="P11" s="4"/>
      <c r="Q11" s="6"/>
    </row>
    <row r="12" customFormat="false" ht="15" hidden="false" customHeight="false" outlineLevel="0" collapsed="false">
      <c r="A12" s="4" t="n">
        <v>11</v>
      </c>
      <c r="B12" s="4" t="s">
        <v>36</v>
      </c>
      <c r="C12" s="4" t="s">
        <v>57</v>
      </c>
      <c r="D12" s="4" t="s">
        <v>57</v>
      </c>
      <c r="E12" s="4" t="s">
        <v>38</v>
      </c>
      <c r="F12" s="4" t="n">
        <v>335</v>
      </c>
      <c r="G12" s="4" t="s">
        <v>58</v>
      </c>
      <c r="H12" s="4"/>
      <c r="I12" s="4"/>
      <c r="J12" s="4" t="n">
        <v>66</v>
      </c>
      <c r="K12" s="4"/>
      <c r="L12" s="4"/>
      <c r="M12" s="4"/>
      <c r="N12" s="4"/>
      <c r="O12" s="5" t="n">
        <f aca="false">IF(AND(J12="",K12="",M12=""),"",IF(OR(AND(N(K12)&gt;0,L12=""),AND(N(M12)&gt;0,N12="")),"à compléter",N(J12)+N(K12)*N(L12)+N(M12)*N(N12)))</f>
        <v>66</v>
      </c>
      <c r="P12" s="4"/>
      <c r="Q12" s="6"/>
    </row>
    <row r="13" customFormat="false" ht="26.85" hidden="false" customHeight="false" outlineLevel="0" collapsed="false">
      <c r="A13" s="4" t="n">
        <v>12</v>
      </c>
      <c r="B13" s="7" t="s">
        <v>59</v>
      </c>
      <c r="C13" s="4" t="s">
        <v>60</v>
      </c>
      <c r="D13" s="7" t="s">
        <v>61</v>
      </c>
      <c r="E13" s="4" t="s">
        <v>38</v>
      </c>
      <c r="F13" s="4" t="n">
        <v>400</v>
      </c>
      <c r="G13" s="4" t="s">
        <v>62</v>
      </c>
      <c r="H13" s="4"/>
      <c r="I13" s="4"/>
      <c r="J13" s="4" t="n">
        <v>22</v>
      </c>
      <c r="K13" s="4"/>
      <c r="L13" s="4"/>
      <c r="M13" s="4"/>
      <c r="N13" s="4"/>
      <c r="O13" s="5" t="n">
        <f aca="false">IF(AND(J13="",K13="",M13=""),"",IF(OR(AND(N(K13)&gt;0,L13=""),AND(N(M13)&gt;0,N13="")),"à compléter",N(J13)+N(K13)*N(L13)+N(M13)*N(N13)))</f>
        <v>22</v>
      </c>
      <c r="P13" s="4"/>
      <c r="Q13" s="6"/>
    </row>
    <row r="14" customFormat="false" ht="15" hidden="false" customHeight="false" outlineLevel="0" collapsed="false">
      <c r="A14" s="4" t="n">
        <v>13</v>
      </c>
      <c r="B14" s="4" t="s">
        <v>36</v>
      </c>
      <c r="C14" s="4" t="s">
        <v>63</v>
      </c>
      <c r="D14" s="4" t="s">
        <v>63</v>
      </c>
      <c r="E14" s="4" t="s">
        <v>38</v>
      </c>
      <c r="F14" s="4" t="n">
        <v>170</v>
      </c>
      <c r="G14" s="4" t="s">
        <v>64</v>
      </c>
      <c r="H14" s="4"/>
      <c r="I14" s="4"/>
      <c r="J14" s="4" t="n">
        <v>33</v>
      </c>
      <c r="K14" s="4"/>
      <c r="L14" s="4"/>
      <c r="M14" s="4"/>
      <c r="N14" s="4"/>
      <c r="O14" s="5" t="n">
        <f aca="false">IF(AND(J14="",K14="",M14=""),"",IF(OR(AND(N(K14)&gt;0,L14=""),AND(N(M14)&gt;0,N14="")),"à compléter",N(J14)+N(K14)*N(L14)+N(M14)*N(N14)))</f>
        <v>33</v>
      </c>
      <c r="P14" s="4"/>
      <c r="Q14" s="6"/>
    </row>
    <row r="15" customFormat="false" ht="15" hidden="false" customHeight="false" outlineLevel="0" collapsed="false">
      <c r="A15" s="4" t="n">
        <v>14</v>
      </c>
      <c r="B15" s="4" t="s">
        <v>36</v>
      </c>
      <c r="C15" s="4" t="s">
        <v>65</v>
      </c>
      <c r="D15" s="4" t="s">
        <v>65</v>
      </c>
      <c r="E15" s="4" t="s">
        <v>38</v>
      </c>
      <c r="F15" s="4" t="n">
        <v>150</v>
      </c>
      <c r="G15" s="4" t="s">
        <v>66</v>
      </c>
      <c r="H15" s="4"/>
      <c r="I15" s="4"/>
      <c r="J15" s="4" t="n">
        <v>7</v>
      </c>
      <c r="K15" s="4"/>
      <c r="L15" s="4"/>
      <c r="M15" s="4"/>
      <c r="N15" s="4"/>
      <c r="O15" s="5" t="n">
        <f aca="false">IF(AND(J15="",K15="",M15=""),"",IF(OR(AND(N(K15)&gt;0,L15=""),AND(N(M15)&gt;0,N15="")),"à compléter",N(J15)+N(K15)*N(L15)+N(M15)*N(N15)))</f>
        <v>7</v>
      </c>
      <c r="P15" s="4"/>
      <c r="Q15" s="6"/>
    </row>
    <row r="16" customFormat="false" ht="15" hidden="false" customHeight="false" outlineLevel="0" collapsed="false">
      <c r="A16" s="4" t="n">
        <v>15</v>
      </c>
      <c r="B16" s="4" t="s">
        <v>36</v>
      </c>
      <c r="C16" s="4" t="s">
        <v>67</v>
      </c>
      <c r="D16" s="4" t="s">
        <v>67</v>
      </c>
      <c r="E16" s="4" t="s">
        <v>38</v>
      </c>
      <c r="F16" s="4" t="n">
        <v>2000</v>
      </c>
      <c r="G16" s="4" t="s">
        <v>68</v>
      </c>
      <c r="H16" s="4"/>
      <c r="I16" s="4"/>
      <c r="J16" s="4" t="n">
        <v>4</v>
      </c>
      <c r="K16" s="4"/>
      <c r="L16" s="4"/>
      <c r="M16" s="4"/>
      <c r="N16" s="4"/>
      <c r="O16" s="5" t="n">
        <f aca="false">IF(AND(J16="",K16="",M16=""),"",IF(OR(AND(N(K16)&gt;0,L16=""),AND(N(M16)&gt;0,N16="")),"à compléter",N(J16)+N(K16)*N(L16)+N(M16)*N(N16)))</f>
        <v>4</v>
      </c>
      <c r="P16" s="4"/>
      <c r="Q16" s="6"/>
    </row>
    <row r="17" customFormat="false" ht="15" hidden="false" customHeight="false" outlineLevel="0" collapsed="false">
      <c r="A17" s="4" t="n">
        <v>16</v>
      </c>
      <c r="B17" s="4" t="s">
        <v>36</v>
      </c>
      <c r="C17" s="4" t="s">
        <v>69</v>
      </c>
      <c r="D17" s="4" t="s">
        <v>69</v>
      </c>
      <c r="E17" s="4" t="s">
        <v>38</v>
      </c>
      <c r="F17" s="4" t="n">
        <v>1500</v>
      </c>
      <c r="G17" s="4" t="s">
        <v>70</v>
      </c>
      <c r="H17" s="4"/>
      <c r="I17" s="4"/>
      <c r="J17" s="4" t="n">
        <v>60</v>
      </c>
      <c r="K17" s="4"/>
      <c r="L17" s="4"/>
      <c r="M17" s="4"/>
      <c r="N17" s="4"/>
      <c r="O17" s="5" t="n">
        <f aca="false">IF(AND(J17="",K17="",M17=""),"",IF(OR(AND(N(K17)&gt;0,L17=""),AND(N(M17)&gt;0,N17="")),"à compléter",N(J17)+N(K17)*N(L17)+N(M17)*N(N17)))</f>
        <v>60</v>
      </c>
      <c r="P17" s="4"/>
      <c r="Q17" s="6"/>
    </row>
    <row r="18" customFormat="false" ht="15" hidden="false" customHeight="false" outlineLevel="0" collapsed="false">
      <c r="A18" s="4" t="n">
        <v>17</v>
      </c>
      <c r="B18" s="4" t="s">
        <v>36</v>
      </c>
      <c r="C18" s="4" t="s">
        <v>71</v>
      </c>
      <c r="D18" s="4" t="s">
        <v>71</v>
      </c>
      <c r="E18" s="4" t="s">
        <v>38</v>
      </c>
      <c r="F18" s="4" t="n">
        <v>300</v>
      </c>
      <c r="G18" s="4" t="s">
        <v>72</v>
      </c>
      <c r="H18" s="4" t="s">
        <v>73</v>
      </c>
      <c r="I18" s="4"/>
      <c r="J18" s="4" t="n">
        <v>564</v>
      </c>
      <c r="K18" s="4"/>
      <c r="L18" s="4"/>
      <c r="M18" s="4"/>
      <c r="N18" s="4"/>
      <c r="O18" s="5" t="n">
        <f aca="false">IF(AND(J18="",K18="",M18=""),"",IF(OR(AND(N(K18)&gt;0,L18=""),AND(N(M18)&gt;0,N18="")),"à compléter",N(J18)+N(K18)*N(L18)+N(M18)*N(N18)))</f>
        <v>564</v>
      </c>
      <c r="P18" s="4"/>
      <c r="Q18" s="6"/>
    </row>
    <row r="19" customFormat="false" ht="15" hidden="false" customHeight="false" outlineLevel="0" collapsed="false">
      <c r="A19" s="4" t="n">
        <v>18</v>
      </c>
      <c r="B19" s="4" t="s">
        <v>36</v>
      </c>
      <c r="C19" s="4" t="s">
        <v>74</v>
      </c>
      <c r="D19" s="4" t="s">
        <v>74</v>
      </c>
      <c r="E19" s="4" t="s">
        <v>38</v>
      </c>
      <c r="F19" s="4" t="n">
        <v>85</v>
      </c>
      <c r="G19" s="4" t="s">
        <v>75</v>
      </c>
      <c r="H19" s="4"/>
      <c r="I19" s="4"/>
      <c r="J19" s="4" t="n">
        <v>94</v>
      </c>
      <c r="K19" s="4"/>
      <c r="L19" s="4"/>
      <c r="M19" s="4"/>
      <c r="N19" s="4"/>
      <c r="O19" s="5" t="n">
        <f aca="false">IF(AND(J19="",K19="",M19=""),"",IF(OR(AND(N(K19)&gt;0,L19=""),AND(N(M19)&gt;0,N19="")),"à compléter",N(J19)+N(K19)*N(L19)+N(M19)*N(N19)))</f>
        <v>94</v>
      </c>
      <c r="P19" s="4"/>
      <c r="Q19" s="6"/>
    </row>
    <row r="20" customFormat="false" ht="15" hidden="false" customHeight="false" outlineLevel="0" collapsed="false">
      <c r="A20" s="4" t="n">
        <v>19</v>
      </c>
      <c r="B20" s="4" t="s">
        <v>36</v>
      </c>
      <c r="C20" s="4" t="s">
        <v>76</v>
      </c>
      <c r="D20" s="4" t="s">
        <v>76</v>
      </c>
      <c r="E20" s="4" t="s">
        <v>38</v>
      </c>
      <c r="F20" s="4" t="n">
        <v>150</v>
      </c>
      <c r="G20" s="4" t="s">
        <v>77</v>
      </c>
      <c r="H20" s="4"/>
      <c r="I20" s="4"/>
      <c r="J20" s="4" t="n">
        <v>8</v>
      </c>
      <c r="K20" s="4"/>
      <c r="L20" s="4"/>
      <c r="M20" s="4"/>
      <c r="N20" s="4"/>
      <c r="O20" s="5" t="n">
        <f aca="false">IF(AND(J20="",K20="",M20=""),"",IF(OR(AND(N(K20)&gt;0,L20=""),AND(N(M20)&gt;0,N20="")),"à compléter",N(J20)+N(K20)*N(L20)+N(M20)*N(N20)))</f>
        <v>8</v>
      </c>
      <c r="P20" s="4"/>
      <c r="Q20" s="6"/>
    </row>
    <row r="21" customFormat="false" ht="15" hidden="false" customHeight="false" outlineLevel="0" collapsed="false">
      <c r="A21" s="4" t="n">
        <v>20</v>
      </c>
      <c r="B21" s="4" t="s">
        <v>36</v>
      </c>
      <c r="C21" s="4" t="s">
        <v>78</v>
      </c>
      <c r="D21" s="4" t="s">
        <v>78</v>
      </c>
      <c r="E21" s="4" t="s">
        <v>38</v>
      </c>
      <c r="F21" s="4" t="n">
        <v>500</v>
      </c>
      <c r="G21" s="4"/>
      <c r="H21" s="4"/>
      <c r="I21" s="4"/>
      <c r="J21" s="4" t="n">
        <v>0</v>
      </c>
      <c r="K21" s="4"/>
      <c r="L21" s="4"/>
      <c r="M21" s="4"/>
      <c r="N21" s="4"/>
      <c r="O21" s="5" t="n">
        <f aca="false">IF(AND(J21="",K21="",M21=""),"",IF(OR(AND(N(K21)&gt;0,L21=""),AND(N(M21)&gt;0,N21="")),"à compléter",N(J21)+N(K21)*N(L21)+N(M21)*N(N21)))</f>
        <v>0</v>
      </c>
      <c r="P21" s="4" t="s">
        <v>79</v>
      </c>
      <c r="Q21" s="6"/>
    </row>
    <row r="22" customFormat="false" ht="15" hidden="false" customHeight="false" outlineLevel="0" collapsed="false">
      <c r="A22" s="4" t="n">
        <v>21</v>
      </c>
      <c r="B22" s="4" t="s">
        <v>36</v>
      </c>
      <c r="C22" s="4" t="s">
        <v>80</v>
      </c>
      <c r="D22" s="4" t="s">
        <v>80</v>
      </c>
      <c r="E22" s="4" t="s">
        <v>38</v>
      </c>
      <c r="F22" s="4" t="n">
        <v>1000</v>
      </c>
      <c r="G22" s="4" t="s">
        <v>81</v>
      </c>
      <c r="H22" s="4"/>
      <c r="I22" s="4"/>
      <c r="J22" s="4" t="n">
        <v>14</v>
      </c>
      <c r="K22" s="4"/>
      <c r="L22" s="4"/>
      <c r="M22" s="4"/>
      <c r="N22" s="4"/>
      <c r="O22" s="5" t="n">
        <f aca="false">IF(AND(J22="",K22="",M22=""),"",IF(OR(AND(N(K22)&gt;0,L22=""),AND(N(M22)&gt;0,N22="")),"à compléter",N(J22)+N(K22)*N(L22)+N(M22)*N(N22)))</f>
        <v>14</v>
      </c>
      <c r="P22" s="4"/>
      <c r="Q22" s="6"/>
    </row>
    <row r="23" customFormat="false" ht="15" hidden="false" customHeight="false" outlineLevel="0" collapsed="false">
      <c r="A23" s="4" t="n">
        <v>22</v>
      </c>
      <c r="B23" s="4" t="s">
        <v>36</v>
      </c>
      <c r="C23" s="4" t="s">
        <v>82</v>
      </c>
      <c r="D23" s="4" t="s">
        <v>82</v>
      </c>
      <c r="E23" s="4" t="s">
        <v>38</v>
      </c>
      <c r="F23" s="4" t="n">
        <v>800</v>
      </c>
      <c r="G23" s="4" t="s">
        <v>47</v>
      </c>
      <c r="H23" s="4" t="s">
        <v>83</v>
      </c>
      <c r="I23" s="4"/>
      <c r="J23" s="4" t="n">
        <v>29</v>
      </c>
      <c r="K23" s="4"/>
      <c r="L23" s="4"/>
      <c r="M23" s="4"/>
      <c r="N23" s="4"/>
      <c r="O23" s="5" t="n">
        <f aca="false">IF(AND(J23="",K23="",M23=""),"",IF(OR(AND(N(K23)&gt;0,L23=""),AND(N(M23)&gt;0,N23="")),"à compléter",N(J23)+N(K23)*N(L23)+N(M23)*N(N23)))</f>
        <v>29</v>
      </c>
      <c r="P23" s="4"/>
      <c r="Q23" s="6"/>
    </row>
    <row r="24" customFormat="false" ht="15" hidden="false" customHeight="false" outlineLevel="0" collapsed="false">
      <c r="A24" s="4" t="n">
        <v>23</v>
      </c>
      <c r="B24" s="4" t="s">
        <v>36</v>
      </c>
      <c r="C24" s="4" t="s">
        <v>84</v>
      </c>
      <c r="D24" s="4" t="s">
        <v>84</v>
      </c>
      <c r="E24" s="4" t="s">
        <v>38</v>
      </c>
      <c r="F24" s="4" t="n">
        <v>500</v>
      </c>
      <c r="G24" s="4" t="s">
        <v>81</v>
      </c>
      <c r="H24" s="4"/>
      <c r="I24" s="4"/>
      <c r="J24" s="4" t="n">
        <v>14</v>
      </c>
      <c r="K24" s="4"/>
      <c r="L24" s="4"/>
      <c r="M24" s="4"/>
      <c r="N24" s="4"/>
      <c r="O24" s="5" t="n">
        <f aca="false">IF(AND(J24="",K24="",M24=""),"",IF(OR(AND(N(K24)&gt;0,L24=""),AND(N(M24)&gt;0,N24="")),"à compléter",N(J24)+N(K24)*N(L24)+N(M24)*N(N24)))</f>
        <v>14</v>
      </c>
      <c r="P24" s="4"/>
      <c r="Q24" s="6"/>
    </row>
    <row r="25" customFormat="false" ht="15" hidden="false" customHeight="false" outlineLevel="0" collapsed="false">
      <c r="A25" s="4" t="n">
        <v>24</v>
      </c>
      <c r="B25" s="4" t="s">
        <v>36</v>
      </c>
      <c r="C25" s="4" t="s">
        <v>85</v>
      </c>
      <c r="D25" s="4" t="s">
        <v>85</v>
      </c>
      <c r="E25" s="4" t="s">
        <v>38</v>
      </c>
      <c r="F25" s="4" t="n">
        <v>1000</v>
      </c>
      <c r="G25" s="4" t="s">
        <v>86</v>
      </c>
      <c r="H25" s="4"/>
      <c r="I25" s="4"/>
      <c r="J25" s="4" t="n">
        <v>19</v>
      </c>
      <c r="K25" s="4"/>
      <c r="L25" s="4"/>
      <c r="M25" s="4"/>
      <c r="N25" s="4"/>
      <c r="O25" s="5" t="n">
        <f aca="false">IF(AND(J25="",K25="",M25=""),"",IF(OR(AND(N(K25)&gt;0,L25=""),AND(N(M25)&gt;0,N25="")),"à compléter",N(J25)+N(K25)*N(L25)+N(M25)*N(N25)))</f>
        <v>19</v>
      </c>
      <c r="P25" s="4"/>
      <c r="Q25" s="6"/>
    </row>
    <row r="26" customFormat="false" ht="15" hidden="false" customHeight="false" outlineLevel="0" collapsed="false">
      <c r="A26" s="4" t="n">
        <v>25</v>
      </c>
      <c r="B26" s="4" t="s">
        <v>36</v>
      </c>
      <c r="C26" s="4" t="s">
        <v>87</v>
      </c>
      <c r="D26" s="4" t="s">
        <v>87</v>
      </c>
      <c r="E26" s="4" t="s">
        <v>38</v>
      </c>
      <c r="F26" s="4" t="n">
        <v>1000</v>
      </c>
      <c r="G26" s="4" t="s">
        <v>41</v>
      </c>
      <c r="H26" s="4"/>
      <c r="I26" s="4"/>
      <c r="J26" s="4" t="n">
        <v>16</v>
      </c>
      <c r="K26" s="4"/>
      <c r="L26" s="4"/>
      <c r="M26" s="4"/>
      <c r="N26" s="4"/>
      <c r="O26" s="5" t="n">
        <f aca="false">IF(AND(J26="",K26="",M26=""),"",IF(OR(AND(N(K26)&gt;0,L26=""),AND(N(M26)&gt;0,N26="")),"à compléter",N(J26)+N(K26)*N(L26)+N(M26)*N(N26)))</f>
        <v>16</v>
      </c>
      <c r="P26" s="4"/>
      <c r="Q26" s="6"/>
    </row>
    <row r="27" customFormat="false" ht="15" hidden="false" customHeight="false" outlineLevel="0" collapsed="false">
      <c r="A27" s="4" t="n">
        <v>26</v>
      </c>
      <c r="B27" s="4" t="s">
        <v>36</v>
      </c>
      <c r="C27" s="4" t="s">
        <v>88</v>
      </c>
      <c r="D27" s="4" t="s">
        <v>88</v>
      </c>
      <c r="E27" s="4" t="s">
        <v>38</v>
      </c>
      <c r="F27" s="4" t="n">
        <v>170</v>
      </c>
      <c r="G27" s="4" t="s">
        <v>89</v>
      </c>
      <c r="H27" s="4"/>
      <c r="I27" s="4"/>
      <c r="J27" s="4" t="n">
        <v>53</v>
      </c>
      <c r="K27" s="4"/>
      <c r="L27" s="4"/>
      <c r="M27" s="4"/>
      <c r="N27" s="4"/>
      <c r="O27" s="5" t="n">
        <f aca="false">IF(AND(J27="",K27="",M27=""),"",IF(OR(AND(N(K27)&gt;0,L27=""),AND(N(M27)&gt;0,N27="")),"à compléter",N(J27)+N(K27)*N(L27)+N(M27)*N(N27)))</f>
        <v>53</v>
      </c>
      <c r="P27" s="4"/>
      <c r="Q27" s="6"/>
    </row>
    <row r="28" customFormat="false" ht="15" hidden="false" customHeight="false" outlineLevel="0" collapsed="false">
      <c r="A28" s="4" t="n">
        <v>27</v>
      </c>
      <c r="B28" s="4" t="s">
        <v>36</v>
      </c>
      <c r="C28" s="4" t="s">
        <v>90</v>
      </c>
      <c r="D28" s="4" t="s">
        <v>90</v>
      </c>
      <c r="E28" s="4" t="s">
        <v>38</v>
      </c>
      <c r="F28" s="4" t="n">
        <v>170</v>
      </c>
      <c r="G28" s="4" t="s">
        <v>91</v>
      </c>
      <c r="H28" s="4"/>
      <c r="I28" s="4"/>
      <c r="J28" s="4" t="n">
        <v>60</v>
      </c>
      <c r="K28" s="4"/>
      <c r="L28" s="4"/>
      <c r="M28" s="4"/>
      <c r="N28" s="4"/>
      <c r="O28" s="5" t="n">
        <f aca="false">IF(AND(J28="",K28="",M28=""),"",IF(OR(AND(N(K28)&gt;0,L28=""),AND(N(M28)&gt;0,N28="")),"à compléter",N(J28)+N(K28)*N(L28)+N(M28)*N(N28)))</f>
        <v>60</v>
      </c>
      <c r="P28" s="4"/>
      <c r="Q28" s="6"/>
    </row>
    <row r="29" customFormat="false" ht="15" hidden="false" customHeight="false" outlineLevel="0" collapsed="false">
      <c r="A29" s="4" t="n">
        <v>28</v>
      </c>
      <c r="B29" s="4" t="s">
        <v>36</v>
      </c>
      <c r="C29" s="4" t="s">
        <v>92</v>
      </c>
      <c r="D29" s="4" t="s">
        <v>92</v>
      </c>
      <c r="E29" s="4" t="s">
        <v>38</v>
      </c>
      <c r="F29" s="4" t="n">
        <v>85</v>
      </c>
      <c r="G29" s="4" t="s">
        <v>93</v>
      </c>
      <c r="H29" s="4"/>
      <c r="I29" s="4"/>
      <c r="J29" s="4" t="n">
        <v>64</v>
      </c>
      <c r="K29" s="4"/>
      <c r="L29" s="4"/>
      <c r="M29" s="4"/>
      <c r="N29" s="4"/>
      <c r="O29" s="5" t="n">
        <f aca="false">IF(AND(J29="",K29="",M29=""),"",IF(OR(AND(N(K29)&gt;0,L29=""),AND(N(M29)&gt;0,N29="")),"à compléter",N(J29)+N(K29)*N(L29)+N(M29)*N(N29)))</f>
        <v>64</v>
      </c>
      <c r="P29" s="4"/>
      <c r="Q29" s="6"/>
    </row>
    <row r="30" customFormat="false" ht="15" hidden="false" customHeight="false" outlineLevel="0" collapsed="false">
      <c r="A30" s="4" t="n">
        <v>29</v>
      </c>
      <c r="B30" s="4" t="s">
        <v>36</v>
      </c>
      <c r="C30" s="4" t="s">
        <v>94</v>
      </c>
      <c r="D30" s="4" t="s">
        <v>94</v>
      </c>
      <c r="E30" s="4" t="s">
        <v>38</v>
      </c>
      <c r="F30" s="4" t="n">
        <v>700</v>
      </c>
      <c r="G30" s="4" t="s">
        <v>95</v>
      </c>
      <c r="H30" s="4"/>
      <c r="I30" s="4"/>
      <c r="J30" s="4" t="n">
        <v>20</v>
      </c>
      <c r="K30" s="4"/>
      <c r="L30" s="4"/>
      <c r="M30" s="4"/>
      <c r="N30" s="4"/>
      <c r="O30" s="5" t="n">
        <f aca="false">IF(AND(J30="",K30="",M30=""),"",IF(OR(AND(N(K30)&gt;0,L30=""),AND(N(M30)&gt;0,N30="")),"à compléter",N(J30)+N(K30)*N(L30)+N(M30)*N(N30)))</f>
        <v>20</v>
      </c>
      <c r="P30" s="4"/>
      <c r="Q30" s="6"/>
    </row>
    <row r="31" customFormat="false" ht="15" hidden="false" customHeight="false" outlineLevel="0" collapsed="false">
      <c r="A31" s="4" t="n">
        <v>30</v>
      </c>
      <c r="B31" s="4" t="s">
        <v>36</v>
      </c>
      <c r="C31" s="4" t="s">
        <v>96</v>
      </c>
      <c r="D31" s="4" t="s">
        <v>96</v>
      </c>
      <c r="E31" s="4" t="s">
        <v>38</v>
      </c>
      <c r="F31" s="4" t="n">
        <v>600</v>
      </c>
      <c r="G31" s="4" t="s">
        <v>97</v>
      </c>
      <c r="H31" s="4"/>
      <c r="I31" s="4"/>
      <c r="J31" s="4" t="n">
        <v>30</v>
      </c>
      <c r="K31" s="4"/>
      <c r="L31" s="4"/>
      <c r="M31" s="4"/>
      <c r="N31" s="4"/>
      <c r="O31" s="5" t="n">
        <f aca="false">IF(AND(J31="",K31="",M31=""),"",IF(OR(AND(N(K31)&gt;0,L31=""),AND(N(M31)&gt;0,N31="")),"à compléter",N(J31)+N(K31)*N(L31)+N(M31)*N(N31)))</f>
        <v>30</v>
      </c>
      <c r="P31" s="4"/>
      <c r="Q31" s="6"/>
    </row>
    <row r="32" customFormat="false" ht="15" hidden="false" customHeight="false" outlineLevel="0" collapsed="false">
      <c r="A32" s="4" t="n">
        <v>31</v>
      </c>
      <c r="B32" s="4" t="s">
        <v>36</v>
      </c>
      <c r="C32" s="4" t="s">
        <v>98</v>
      </c>
      <c r="D32" s="4" t="s">
        <v>98</v>
      </c>
      <c r="E32" s="4" t="s">
        <v>38</v>
      </c>
      <c r="F32" s="4" t="n">
        <v>100</v>
      </c>
      <c r="G32" s="4" t="s">
        <v>99</v>
      </c>
      <c r="H32" s="4"/>
      <c r="I32" s="4"/>
      <c r="J32" s="4" t="n">
        <v>32</v>
      </c>
      <c r="K32" s="4"/>
      <c r="L32" s="4"/>
      <c r="M32" s="4"/>
      <c r="N32" s="4"/>
      <c r="O32" s="5" t="n">
        <f aca="false">IF(AND(J32="",K32="",M32=""),"",IF(OR(AND(N(K32)&gt;0,L32=""),AND(N(M32)&gt;0,N32="")),"à compléter",N(J32)+N(K32)*N(L32)+N(M32)*N(N32)))</f>
        <v>32</v>
      </c>
      <c r="P32" s="4"/>
      <c r="Q32" s="6"/>
    </row>
    <row r="33" customFormat="false" ht="15" hidden="false" customHeight="false" outlineLevel="0" collapsed="false">
      <c r="A33" s="4" t="n">
        <v>32</v>
      </c>
      <c r="B33" s="4" t="s">
        <v>36</v>
      </c>
      <c r="C33" s="4" t="s">
        <v>100</v>
      </c>
      <c r="D33" s="4" t="s">
        <v>100</v>
      </c>
      <c r="E33" s="4" t="s">
        <v>38</v>
      </c>
      <c r="F33" s="4" t="n">
        <v>500</v>
      </c>
      <c r="G33" s="4" t="s">
        <v>66</v>
      </c>
      <c r="H33" s="4"/>
      <c r="I33" s="4"/>
      <c r="J33" s="4" t="n">
        <v>7</v>
      </c>
      <c r="K33" s="4"/>
      <c r="L33" s="4"/>
      <c r="M33" s="4"/>
      <c r="N33" s="4"/>
      <c r="O33" s="5" t="n">
        <f aca="false">IF(AND(J33="",K33="",M33=""),"",IF(OR(AND(N(K33)&gt;0,L33=""),AND(N(M33)&gt;0,N33="")),"à compléter",N(J33)+N(K33)*N(L33)+N(M33)*N(N33)))</f>
        <v>7</v>
      </c>
      <c r="P33" s="4"/>
      <c r="Q33" s="6"/>
    </row>
    <row r="34" customFormat="false" ht="15" hidden="false" customHeight="false" outlineLevel="0" collapsed="false">
      <c r="A34" s="4" t="n">
        <v>33</v>
      </c>
      <c r="B34" s="4" t="s">
        <v>36</v>
      </c>
      <c r="C34" s="4" t="s">
        <v>101</v>
      </c>
      <c r="D34" s="4" t="s">
        <v>101</v>
      </c>
      <c r="E34" s="4" t="s">
        <v>38</v>
      </c>
      <c r="F34" s="4" t="n">
        <v>600</v>
      </c>
      <c r="G34" s="4" t="s">
        <v>81</v>
      </c>
      <c r="H34" s="4"/>
      <c r="I34" s="4"/>
      <c r="J34" s="4" t="n">
        <v>14</v>
      </c>
      <c r="K34" s="4"/>
      <c r="L34" s="4"/>
      <c r="M34" s="4"/>
      <c r="N34" s="4"/>
      <c r="O34" s="5" t="n">
        <f aca="false">IF(AND(J34="",K34="",M34=""),"",IF(OR(AND(N(K34)&gt;0,L34=""),AND(N(M34)&gt;0,N34="")),"à compléter",N(J34)+N(K34)*N(L34)+N(M34)*N(N34)))</f>
        <v>14</v>
      </c>
      <c r="P34" s="4"/>
      <c r="Q34" s="6"/>
    </row>
    <row r="35" customFormat="false" ht="15" hidden="false" customHeight="false" outlineLevel="0" collapsed="false">
      <c r="A35" s="4" t="n">
        <v>34</v>
      </c>
      <c r="B35" s="4" t="s">
        <v>36</v>
      </c>
      <c r="C35" s="4" t="s">
        <v>102</v>
      </c>
      <c r="D35" s="4" t="s">
        <v>102</v>
      </c>
      <c r="E35" s="4" t="s">
        <v>38</v>
      </c>
      <c r="F35" s="4" t="n">
        <v>700</v>
      </c>
      <c r="G35" s="4" t="s">
        <v>103</v>
      </c>
      <c r="H35" s="4"/>
      <c r="I35" s="4"/>
      <c r="J35" s="4" t="n">
        <v>12</v>
      </c>
      <c r="K35" s="4"/>
      <c r="L35" s="4"/>
      <c r="M35" s="4"/>
      <c r="N35" s="4"/>
      <c r="O35" s="5" t="n">
        <f aca="false">IF(AND(J35="",K35="",M35=""),"",IF(OR(AND(N(K35)&gt;0,L35=""),AND(N(M35)&gt;0,N35="")),"à compléter",N(J35)+N(K35)*N(L35)+N(M35)*N(N35)))</f>
        <v>12</v>
      </c>
      <c r="P35" s="4"/>
      <c r="Q35" s="6"/>
    </row>
    <row r="36" customFormat="false" ht="15" hidden="false" customHeight="false" outlineLevel="0" collapsed="false">
      <c r="A36" s="4" t="n">
        <v>35</v>
      </c>
      <c r="B36" s="4" t="s">
        <v>36</v>
      </c>
      <c r="C36" s="4" t="s">
        <v>104</v>
      </c>
      <c r="D36" s="4" t="s">
        <v>104</v>
      </c>
      <c r="E36" s="4" t="s">
        <v>38</v>
      </c>
      <c r="F36" s="4" t="n">
        <v>1000</v>
      </c>
      <c r="G36" s="4" t="s">
        <v>105</v>
      </c>
      <c r="H36" s="4"/>
      <c r="I36" s="4"/>
      <c r="J36" s="4" t="n">
        <v>23</v>
      </c>
      <c r="K36" s="4"/>
      <c r="L36" s="4"/>
      <c r="M36" s="4"/>
      <c r="N36" s="4"/>
      <c r="O36" s="5" t="n">
        <f aca="false">IF(AND(J36="",K36="",M36=""),"",IF(OR(AND(N(K36)&gt;0,L36=""),AND(N(M36)&gt;0,N36="")),"à compléter",N(J36)+N(K36)*N(L36)+N(M36)*N(N36)))</f>
        <v>23</v>
      </c>
      <c r="P36" s="4"/>
      <c r="Q36" s="6"/>
    </row>
    <row r="37" customFormat="false" ht="15" hidden="false" customHeight="false" outlineLevel="0" collapsed="false">
      <c r="A37" s="4" t="n">
        <v>36</v>
      </c>
      <c r="B37" s="4" t="s">
        <v>36</v>
      </c>
      <c r="C37" s="4" t="s">
        <v>106</v>
      </c>
      <c r="D37" s="4" t="s">
        <v>106</v>
      </c>
      <c r="E37" s="4" t="s">
        <v>38</v>
      </c>
      <c r="F37" s="4" t="n">
        <v>400</v>
      </c>
      <c r="G37" s="4" t="s">
        <v>107</v>
      </c>
      <c r="H37" s="4"/>
      <c r="I37" s="4"/>
      <c r="J37" s="4" t="n">
        <v>13</v>
      </c>
      <c r="K37" s="4"/>
      <c r="L37" s="4"/>
      <c r="M37" s="4"/>
      <c r="N37" s="4"/>
      <c r="O37" s="5" t="n">
        <f aca="false">IF(AND(J37="",K37="",M37=""),"",IF(OR(AND(N(K37)&gt;0,L37=""),AND(N(M37)&gt;0,N37="")),"à compléter",N(J37)+N(K37)*N(L37)+N(M37)*N(N37)))</f>
        <v>13</v>
      </c>
      <c r="P37" s="4"/>
      <c r="Q37" s="6"/>
    </row>
    <row r="38" customFormat="false" ht="15" hidden="false" customHeight="false" outlineLevel="0" collapsed="false">
      <c r="A38" s="4" t="n">
        <v>37</v>
      </c>
      <c r="B38" s="4" t="s">
        <v>36</v>
      </c>
      <c r="C38" s="4" t="s">
        <v>108</v>
      </c>
      <c r="D38" s="4" t="s">
        <v>108</v>
      </c>
      <c r="E38" s="4" t="s">
        <v>38</v>
      </c>
      <c r="F38" s="4" t="n">
        <v>400</v>
      </c>
      <c r="G38" s="4" t="s">
        <v>109</v>
      </c>
      <c r="H38" s="4"/>
      <c r="I38" s="4"/>
      <c r="J38" s="4" t="n">
        <v>68</v>
      </c>
      <c r="K38" s="4"/>
      <c r="L38" s="4"/>
      <c r="M38" s="4"/>
      <c r="N38" s="4"/>
      <c r="O38" s="5" t="n">
        <f aca="false">IF(AND(J38="",K38="",M38=""),"",IF(OR(AND(N(K38)&gt;0,L38=""),AND(N(M38)&gt;0,N38="")),"à compléter",N(J38)+N(K38)*N(L38)+N(M38)*N(N38)))</f>
        <v>68</v>
      </c>
      <c r="P38" s="4"/>
      <c r="Q38" s="6"/>
    </row>
    <row r="39" customFormat="false" ht="15" hidden="false" customHeight="false" outlineLevel="0" collapsed="false">
      <c r="A39" s="4" t="n">
        <v>38</v>
      </c>
      <c r="B39" s="4" t="s">
        <v>36</v>
      </c>
      <c r="C39" s="4" t="s">
        <v>110</v>
      </c>
      <c r="D39" s="4" t="s">
        <v>110</v>
      </c>
      <c r="E39" s="4" t="s">
        <v>38</v>
      </c>
      <c r="F39" s="4" t="n">
        <v>185</v>
      </c>
      <c r="G39" s="4" t="s">
        <v>111</v>
      </c>
      <c r="H39" s="4"/>
      <c r="I39" s="4" t="s">
        <v>112</v>
      </c>
      <c r="J39" s="4" t="n">
        <v>65</v>
      </c>
      <c r="K39" s="4"/>
      <c r="L39" s="4"/>
      <c r="M39" s="4"/>
      <c r="N39" s="4"/>
      <c r="O39" s="5" t="n">
        <f aca="false">IF(AND(J39="",K39="",M39=""),"",IF(OR(AND(N(K39)&gt;0,L39=""),AND(N(M39)&gt;0,N39="")),"à compléter",N(J39)+N(K39)*N(L39)+N(M39)*N(N39)))</f>
        <v>65</v>
      </c>
      <c r="P39" s="4"/>
      <c r="Q39" s="6"/>
    </row>
    <row r="40" customFormat="false" ht="15" hidden="false" customHeight="false" outlineLevel="0" collapsed="false">
      <c r="A40" s="4" t="n">
        <v>39</v>
      </c>
      <c r="B40" s="4" t="s">
        <v>36</v>
      </c>
      <c r="C40" s="4" t="s">
        <v>113</v>
      </c>
      <c r="D40" s="4" t="s">
        <v>113</v>
      </c>
      <c r="E40" s="4" t="s">
        <v>38</v>
      </c>
      <c r="F40" s="4" t="n">
        <v>170</v>
      </c>
      <c r="G40" s="4" t="s">
        <v>114</v>
      </c>
      <c r="H40" s="4"/>
      <c r="I40" s="4"/>
      <c r="J40" s="4" t="n">
        <v>40</v>
      </c>
      <c r="K40" s="4"/>
      <c r="L40" s="4"/>
      <c r="M40" s="4"/>
      <c r="N40" s="4"/>
      <c r="O40" s="5" t="n">
        <f aca="false">IF(AND(J40="",K40="",M40=""),"",IF(OR(AND(N(K40)&gt;0,L40=""),AND(N(M40)&gt;0,N40="")),"à compléter",N(J40)+N(K40)*N(L40)+N(M40)*N(N40)))</f>
        <v>40</v>
      </c>
      <c r="P40" s="4"/>
      <c r="Q40" s="6"/>
    </row>
    <row r="41" customFormat="false" ht="15" hidden="false" customHeight="false" outlineLevel="0" collapsed="false">
      <c r="A41" s="4" t="n">
        <v>40</v>
      </c>
      <c r="B41" s="4" t="s">
        <v>36</v>
      </c>
      <c r="C41" s="4" t="s">
        <v>115</v>
      </c>
      <c r="D41" s="4" t="s">
        <v>115</v>
      </c>
      <c r="E41" s="4" t="s">
        <v>38</v>
      </c>
      <c r="F41" s="4" t="n">
        <v>800</v>
      </c>
      <c r="G41" s="4" t="s">
        <v>116</v>
      </c>
      <c r="H41" s="4"/>
      <c r="I41" s="4"/>
      <c r="J41" s="4" t="n">
        <v>1</v>
      </c>
      <c r="K41" s="4"/>
      <c r="L41" s="4"/>
      <c r="M41" s="4"/>
      <c r="N41" s="4"/>
      <c r="O41" s="5" t="n">
        <f aca="false">IF(AND(J41="",K41="",M41=""),"",IF(OR(AND(N(K41)&gt;0,L41=""),AND(N(M41)&gt;0,N41="")),"à compléter",N(J41)+N(K41)*N(L41)+N(M41)*N(N41)))</f>
        <v>1</v>
      </c>
      <c r="P41" s="4"/>
      <c r="Q41" s="6"/>
    </row>
    <row r="42" customFormat="false" ht="15" hidden="false" customHeight="false" outlineLevel="0" collapsed="false">
      <c r="A42" s="4" t="n">
        <v>41</v>
      </c>
      <c r="B42" s="4" t="s">
        <v>36</v>
      </c>
      <c r="C42" s="4" t="s">
        <v>117</v>
      </c>
      <c r="D42" s="4" t="s">
        <v>117</v>
      </c>
      <c r="E42" s="4" t="s">
        <v>38</v>
      </c>
      <c r="F42" s="4" t="n">
        <v>500</v>
      </c>
      <c r="G42" s="4"/>
      <c r="H42" s="4" t="s">
        <v>103</v>
      </c>
      <c r="I42" s="4"/>
      <c r="J42" s="4" t="n">
        <v>12</v>
      </c>
      <c r="K42" s="4"/>
      <c r="L42" s="4"/>
      <c r="M42" s="4"/>
      <c r="N42" s="4"/>
      <c r="O42" s="5" t="n">
        <f aca="false">IF(AND(J42="",K42="",M42=""),"",IF(OR(AND(N(K42)&gt;0,L42=""),AND(N(M42)&gt;0,N42="")),"à compléter",N(J42)+N(K42)*N(L42)+N(M42)*N(N42)))</f>
        <v>12</v>
      </c>
      <c r="P42" s="4"/>
      <c r="Q42" s="6"/>
    </row>
    <row r="43" customFormat="false" ht="15" hidden="false" customHeight="false" outlineLevel="0" collapsed="false">
      <c r="A43" s="4" t="n">
        <v>42</v>
      </c>
      <c r="B43" s="4" t="s">
        <v>36</v>
      </c>
      <c r="C43" s="4" t="s">
        <v>118</v>
      </c>
      <c r="D43" s="4" t="s">
        <v>118</v>
      </c>
      <c r="E43" s="4" t="s">
        <v>38</v>
      </c>
      <c r="F43" s="4" t="n">
        <v>500</v>
      </c>
      <c r="G43" s="4" t="s">
        <v>119</v>
      </c>
      <c r="H43" s="4"/>
      <c r="I43" s="4"/>
      <c r="J43" s="4" t="n">
        <v>21</v>
      </c>
      <c r="K43" s="4"/>
      <c r="L43" s="4"/>
      <c r="M43" s="4"/>
      <c r="N43" s="4"/>
      <c r="O43" s="5" t="n">
        <f aca="false">IF(AND(J43="",K43="",M43=""),"",IF(OR(AND(N(K43)&gt;0,L43=""),AND(N(M43)&gt;0,N43="")),"à compléter",N(J43)+N(K43)*N(L43)+N(M43)*N(N43)))</f>
        <v>21</v>
      </c>
      <c r="P43" s="4"/>
      <c r="Q43" s="6"/>
    </row>
    <row r="44" customFormat="false" ht="15" hidden="false" customHeight="false" outlineLevel="0" collapsed="false">
      <c r="A44" s="4" t="n">
        <v>43</v>
      </c>
      <c r="B44" s="4" t="s">
        <v>36</v>
      </c>
      <c r="C44" s="4" t="s">
        <v>120</v>
      </c>
      <c r="D44" s="4" t="s">
        <v>120</v>
      </c>
      <c r="E44" s="4" t="s">
        <v>38</v>
      </c>
      <c r="F44" s="4" t="n">
        <v>2500</v>
      </c>
      <c r="G44" s="4" t="s">
        <v>77</v>
      </c>
      <c r="H44" s="4"/>
      <c r="I44" s="4"/>
      <c r="J44" s="4" t="n">
        <v>8</v>
      </c>
      <c r="K44" s="4"/>
      <c r="L44" s="4"/>
      <c r="M44" s="4"/>
      <c r="N44" s="4"/>
      <c r="O44" s="5" t="n">
        <f aca="false">IF(AND(J44="",K44="",M44=""),"",IF(OR(AND(N(K44)&gt;0,L44=""),AND(N(M44)&gt;0,N44="")),"à compléter",N(J44)+N(K44)*N(L44)+N(M44)*N(N44)))</f>
        <v>8</v>
      </c>
      <c r="P44" s="4"/>
      <c r="Q44" s="6"/>
    </row>
    <row r="45" customFormat="false" ht="15" hidden="false" customHeight="false" outlineLevel="0" collapsed="false">
      <c r="A45" s="4" t="n">
        <v>44</v>
      </c>
      <c r="B45" s="4" t="s">
        <v>36</v>
      </c>
      <c r="C45" s="4" t="s">
        <v>121</v>
      </c>
      <c r="D45" s="4" t="s">
        <v>121</v>
      </c>
      <c r="E45" s="4" t="s">
        <v>38</v>
      </c>
      <c r="F45" s="4" t="n">
        <v>1000</v>
      </c>
      <c r="G45" s="4" t="s">
        <v>122</v>
      </c>
      <c r="H45" s="4"/>
      <c r="I45" s="4"/>
      <c r="J45" s="4" t="n">
        <v>6</v>
      </c>
      <c r="K45" s="4"/>
      <c r="L45" s="4"/>
      <c r="M45" s="4"/>
      <c r="N45" s="4"/>
      <c r="O45" s="5" t="n">
        <f aca="false">IF(AND(J45="",K45="",M45=""),"",IF(OR(AND(N(K45)&gt;0,L45=""),AND(N(M45)&gt;0,N45="")),"à compléter",N(J45)+N(K45)*N(L45)+N(M45)*N(N45)))</f>
        <v>6</v>
      </c>
      <c r="P45" s="4"/>
      <c r="Q45" s="6"/>
    </row>
    <row r="46" customFormat="false" ht="15" hidden="false" customHeight="false" outlineLevel="0" collapsed="false">
      <c r="A46" s="4" t="n">
        <v>45</v>
      </c>
      <c r="B46" s="4" t="s">
        <v>36</v>
      </c>
      <c r="C46" s="4" t="s">
        <v>123</v>
      </c>
      <c r="D46" s="4" t="s">
        <v>123</v>
      </c>
      <c r="E46" s="4" t="s">
        <v>38</v>
      </c>
      <c r="F46" s="4" t="n">
        <v>1500</v>
      </c>
      <c r="G46" s="4" t="s">
        <v>68</v>
      </c>
      <c r="H46" s="4"/>
      <c r="I46" s="4"/>
      <c r="J46" s="4" t="n">
        <v>4</v>
      </c>
      <c r="K46" s="4"/>
      <c r="L46" s="4"/>
      <c r="M46" s="4"/>
      <c r="N46" s="4"/>
      <c r="O46" s="5" t="n">
        <f aca="false">IF(AND(J46="",K46="",M46=""),"",IF(OR(AND(N(K46)&gt;0,L46=""),AND(N(M46)&gt;0,N46="")),"à compléter",N(J46)+N(K46)*N(L46)+N(M46)*N(N46)))</f>
        <v>4</v>
      </c>
      <c r="P46" s="4"/>
      <c r="Q46" s="6"/>
    </row>
    <row r="47" customFormat="false" ht="15" hidden="false" customHeight="false" outlineLevel="0" collapsed="false">
      <c r="A47" s="4" t="n">
        <v>46</v>
      </c>
      <c r="B47" s="4" t="s">
        <v>36</v>
      </c>
      <c r="C47" s="4" t="s">
        <v>124</v>
      </c>
      <c r="D47" s="4" t="s">
        <v>124</v>
      </c>
      <c r="E47" s="4" t="s">
        <v>38</v>
      </c>
      <c r="F47" s="4" t="n">
        <v>500</v>
      </c>
      <c r="G47" s="4" t="s">
        <v>66</v>
      </c>
      <c r="H47" s="4"/>
      <c r="I47" s="4"/>
      <c r="J47" s="4" t="n">
        <v>7</v>
      </c>
      <c r="K47" s="4"/>
      <c r="L47" s="4"/>
      <c r="M47" s="4"/>
      <c r="N47" s="4"/>
      <c r="O47" s="5" t="n">
        <f aca="false">IF(AND(J47="",K47="",M47=""),"",IF(OR(AND(N(K47)&gt;0,L47=""),AND(N(M47)&gt;0,N47="")),"à compléter",N(J47)+N(K47)*N(L47)+N(M47)*N(N47)))</f>
        <v>7</v>
      </c>
      <c r="P47" s="4"/>
      <c r="Q47" s="6"/>
    </row>
    <row r="48" customFormat="false" ht="15" hidden="false" customHeight="false" outlineLevel="0" collapsed="false">
      <c r="A48" s="4" t="n">
        <v>47</v>
      </c>
      <c r="B48" s="4" t="s">
        <v>36</v>
      </c>
      <c r="C48" s="4" t="s">
        <v>125</v>
      </c>
      <c r="D48" s="4" t="s">
        <v>125</v>
      </c>
      <c r="E48" s="4" t="s">
        <v>38</v>
      </c>
      <c r="F48" s="4" t="n">
        <v>235</v>
      </c>
      <c r="G48" s="4" t="s">
        <v>126</v>
      </c>
      <c r="H48" s="4"/>
      <c r="I48" s="4"/>
      <c r="J48" s="4" t="n">
        <v>29</v>
      </c>
      <c r="K48" s="4"/>
      <c r="L48" s="4"/>
      <c r="M48" s="4"/>
      <c r="N48" s="4"/>
      <c r="O48" s="5" t="n">
        <f aca="false">IF(AND(J48="",K48="",M48=""),"",IF(OR(AND(N(K48)&gt;0,L48=""),AND(N(M48)&gt;0,N48="")),"à compléter",N(J48)+N(K48)*N(L48)+N(M48)*N(N48)))</f>
        <v>29</v>
      </c>
      <c r="P48" s="4"/>
      <c r="Q48" s="6"/>
    </row>
    <row r="49" customFormat="false" ht="15" hidden="false" customHeight="false" outlineLevel="0" collapsed="false">
      <c r="A49" s="4" t="n">
        <v>48</v>
      </c>
      <c r="B49" s="4" t="s">
        <v>36</v>
      </c>
      <c r="C49" s="4" t="s">
        <v>127</v>
      </c>
      <c r="D49" s="4" t="s">
        <v>127</v>
      </c>
      <c r="E49" s="4" t="s">
        <v>38</v>
      </c>
      <c r="F49" s="4" t="n">
        <v>335</v>
      </c>
      <c r="G49" s="4" t="s">
        <v>68</v>
      </c>
      <c r="H49" s="4"/>
      <c r="I49" s="4"/>
      <c r="J49" s="4" t="n">
        <v>4</v>
      </c>
      <c r="K49" s="4"/>
      <c r="L49" s="4"/>
      <c r="M49" s="4"/>
      <c r="N49" s="4"/>
      <c r="O49" s="5" t="n">
        <f aca="false">IF(AND(J49="",K49="",M49=""),"",IF(OR(AND(N(K49)&gt;0,L49=""),AND(N(M49)&gt;0,N49="")),"à compléter",N(J49)+N(K49)*N(L49)+N(M49)*N(N49)))</f>
        <v>4</v>
      </c>
      <c r="P49" s="4"/>
      <c r="Q49" s="6"/>
    </row>
    <row r="50" customFormat="false" ht="15" hidden="false" customHeight="false" outlineLevel="0" collapsed="false">
      <c r="A50" s="4" t="n">
        <v>49</v>
      </c>
      <c r="B50" s="4" t="s">
        <v>36</v>
      </c>
      <c r="C50" s="4" t="s">
        <v>128</v>
      </c>
      <c r="D50" s="4" t="s">
        <v>128</v>
      </c>
      <c r="E50" s="4" t="s">
        <v>38</v>
      </c>
      <c r="F50" s="4" t="n">
        <v>170</v>
      </c>
      <c r="G50" s="4" t="s">
        <v>129</v>
      </c>
      <c r="H50" s="4"/>
      <c r="I50" s="4"/>
      <c r="J50" s="4" t="n">
        <v>2</v>
      </c>
      <c r="K50" s="4"/>
      <c r="L50" s="4"/>
      <c r="M50" s="4"/>
      <c r="N50" s="4"/>
      <c r="O50" s="5" t="n">
        <f aca="false">IF(AND(J50="",K50="",M50=""),"",IF(OR(AND(N(K50)&gt;0,L50=""),AND(N(M50)&gt;0,N50="")),"à compléter",N(J50)+N(K50)*N(L50)+N(M50)*N(N50)))</f>
        <v>2</v>
      </c>
      <c r="P50" s="4"/>
      <c r="Q50" s="6"/>
    </row>
    <row r="51" customFormat="false" ht="15" hidden="false" customHeight="false" outlineLevel="0" collapsed="false">
      <c r="A51" s="4" t="n">
        <v>50</v>
      </c>
      <c r="B51" s="4" t="s">
        <v>36</v>
      </c>
      <c r="C51" s="4" t="s">
        <v>130</v>
      </c>
      <c r="D51" s="4" t="s">
        <v>130</v>
      </c>
      <c r="E51" s="4" t="s">
        <v>38</v>
      </c>
      <c r="F51" s="4" t="n">
        <v>85</v>
      </c>
      <c r="G51" s="4" t="s">
        <v>47</v>
      </c>
      <c r="H51" s="4"/>
      <c r="I51" s="4"/>
      <c r="J51" s="4" t="n">
        <v>5</v>
      </c>
      <c r="K51" s="4"/>
      <c r="L51" s="4"/>
      <c r="M51" s="4"/>
      <c r="N51" s="4"/>
      <c r="O51" s="5" t="n">
        <f aca="false">IF(AND(J51="",K51="",M51=""),"",IF(OR(AND(N(K51)&gt;0,L51=""),AND(N(M51)&gt;0,N51="")),"à compléter",N(J51)+N(K51)*N(L51)+N(M51)*N(N51)))</f>
        <v>5</v>
      </c>
      <c r="P51" s="4"/>
      <c r="Q51" s="6"/>
    </row>
    <row r="52" customFormat="false" ht="15" hidden="false" customHeight="false" outlineLevel="0" collapsed="false">
      <c r="A52" s="4" t="n">
        <v>51</v>
      </c>
      <c r="B52" s="4" t="s">
        <v>36</v>
      </c>
      <c r="C52" s="4" t="s">
        <v>131</v>
      </c>
      <c r="D52" s="4" t="s">
        <v>131</v>
      </c>
      <c r="E52" s="4" t="s">
        <v>38</v>
      </c>
      <c r="F52" s="4" t="n">
        <v>135</v>
      </c>
      <c r="G52" s="4" t="s">
        <v>132</v>
      </c>
      <c r="H52" s="4"/>
      <c r="I52" s="4"/>
      <c r="J52" s="4" t="n">
        <v>63</v>
      </c>
      <c r="K52" s="4"/>
      <c r="L52" s="4"/>
      <c r="M52" s="4"/>
      <c r="N52" s="4"/>
      <c r="O52" s="5" t="n">
        <f aca="false">IF(AND(J52="",K52="",M52=""),"",IF(OR(AND(N(K52)&gt;0,L52=""),AND(N(M52)&gt;0,N52="")),"à compléter",N(J52)+N(K52)*N(L52)+N(M52)*N(N52)))</f>
        <v>63</v>
      </c>
      <c r="P52" s="4"/>
      <c r="Q52" s="6"/>
    </row>
    <row r="53" customFormat="false" ht="15" hidden="false" customHeight="false" outlineLevel="0" collapsed="false">
      <c r="A53" s="4" t="n">
        <v>52</v>
      </c>
      <c r="B53" s="4" t="s">
        <v>36</v>
      </c>
      <c r="C53" s="4" t="s">
        <v>133</v>
      </c>
      <c r="D53" s="4" t="s">
        <v>133</v>
      </c>
      <c r="E53" s="4" t="s">
        <v>38</v>
      </c>
      <c r="F53" s="4" t="n">
        <v>170</v>
      </c>
      <c r="G53" s="4" t="s">
        <v>134</v>
      </c>
      <c r="H53" s="4"/>
      <c r="I53" s="4"/>
      <c r="J53" s="4" t="n">
        <v>14</v>
      </c>
      <c r="K53" s="4"/>
      <c r="L53" s="4"/>
      <c r="M53" s="4"/>
      <c r="N53" s="4"/>
      <c r="O53" s="5" t="n">
        <f aca="false">IF(AND(J53="",K53="",M53=""),"",IF(OR(AND(N(K53)&gt;0,L53=""),AND(N(M53)&gt;0,N53="")),"à compléter",N(J53)+N(K53)*N(L53)+N(M53)*N(N53)))</f>
        <v>14</v>
      </c>
      <c r="P53" s="4"/>
      <c r="Q53" s="6"/>
    </row>
    <row r="54" customFormat="false" ht="15" hidden="false" customHeight="false" outlineLevel="0" collapsed="false">
      <c r="A54" s="4" t="n">
        <v>53</v>
      </c>
      <c r="B54" s="4" t="s">
        <v>36</v>
      </c>
      <c r="C54" s="4" t="s">
        <v>135</v>
      </c>
      <c r="D54" s="4" t="s">
        <v>135</v>
      </c>
      <c r="E54" s="4" t="s">
        <v>38</v>
      </c>
      <c r="F54" s="4" t="n">
        <v>500</v>
      </c>
      <c r="G54" s="4" t="s">
        <v>136</v>
      </c>
      <c r="H54" s="4"/>
      <c r="I54" s="4"/>
      <c r="J54" s="4" t="n">
        <v>3</v>
      </c>
      <c r="K54" s="4"/>
      <c r="L54" s="4"/>
      <c r="M54" s="4"/>
      <c r="N54" s="4"/>
      <c r="O54" s="5" t="n">
        <f aca="false">IF(AND(J54="",K54="",M54=""),"",IF(OR(AND(N(K54)&gt;0,L54=""),AND(N(M54)&gt;0,N54="")),"à compléter",N(J54)+N(K54)*N(L54)+N(M54)*N(N54)))</f>
        <v>3</v>
      </c>
      <c r="P54" s="4"/>
      <c r="Q54" s="6"/>
    </row>
    <row r="55" customFormat="false" ht="26.85" hidden="false" customHeight="false" outlineLevel="0" collapsed="false">
      <c r="A55" s="4" t="n">
        <v>54</v>
      </c>
      <c r="B55" s="4" t="s">
        <v>36</v>
      </c>
      <c r="C55" s="4" t="s">
        <v>137</v>
      </c>
      <c r="D55" s="4" t="s">
        <v>137</v>
      </c>
      <c r="E55" s="4" t="s">
        <v>38</v>
      </c>
      <c r="F55" s="4" t="n">
        <v>300</v>
      </c>
      <c r="G55" s="4" t="s">
        <v>66</v>
      </c>
      <c r="H55" s="4"/>
      <c r="I55" s="4"/>
      <c r="J55" s="4" t="n">
        <v>7</v>
      </c>
      <c r="K55" s="4"/>
      <c r="L55" s="4"/>
      <c r="M55" s="4"/>
      <c r="N55" s="4"/>
      <c r="O55" s="5" t="n">
        <f aca="false">IF(AND(J55="",K55="",M55=""),"",IF(OR(AND(N(K55)&gt;0,L55=""),AND(N(M55)&gt;0,N55="")),"à compléter",N(J55)+N(K55)*N(L55)+N(M55)*N(N55)))</f>
        <v>7</v>
      </c>
      <c r="P55" s="4"/>
      <c r="Q55" s="6"/>
    </row>
    <row r="56" customFormat="false" ht="15" hidden="false" customHeight="false" outlineLevel="0" collapsed="false">
      <c r="A56" s="4" t="n">
        <v>55</v>
      </c>
      <c r="B56" s="4" t="s">
        <v>36</v>
      </c>
      <c r="C56" s="4" t="s">
        <v>138</v>
      </c>
      <c r="D56" s="4" t="s">
        <v>138</v>
      </c>
      <c r="E56" s="4" t="s">
        <v>38</v>
      </c>
      <c r="F56" s="4" t="n">
        <v>600</v>
      </c>
      <c r="G56" s="4" t="s">
        <v>139</v>
      </c>
      <c r="H56" s="4"/>
      <c r="I56" s="4"/>
      <c r="J56" s="4" t="n">
        <v>69</v>
      </c>
      <c r="K56" s="4"/>
      <c r="L56" s="4"/>
      <c r="M56" s="4"/>
      <c r="N56" s="4"/>
      <c r="O56" s="5" t="n">
        <f aca="false">IF(AND(J56="",K56="",M56=""),"",IF(OR(AND(N(K56)&gt;0,L56=""),AND(N(M56)&gt;0,N56="")),"à compléter",N(J56)+N(K56)*N(L56)+N(M56)*N(N56)))</f>
        <v>69</v>
      </c>
      <c r="P56" s="4"/>
      <c r="Q56" s="6"/>
    </row>
    <row r="57" customFormat="false" ht="15" hidden="false" customHeight="false" outlineLevel="0" collapsed="false">
      <c r="A57" s="4" t="n">
        <v>56</v>
      </c>
      <c r="B57" s="4" t="s">
        <v>36</v>
      </c>
      <c r="C57" s="4" t="s">
        <v>140</v>
      </c>
      <c r="D57" s="4" t="s">
        <v>140</v>
      </c>
      <c r="E57" s="4" t="s">
        <v>38</v>
      </c>
      <c r="F57" s="4" t="n">
        <v>170</v>
      </c>
      <c r="G57" s="4" t="s">
        <v>141</v>
      </c>
      <c r="H57" s="4"/>
      <c r="I57" s="4"/>
      <c r="J57" s="4" t="n">
        <v>38</v>
      </c>
      <c r="K57" s="4"/>
      <c r="L57" s="4"/>
      <c r="M57" s="4"/>
      <c r="N57" s="4"/>
      <c r="O57" s="5" t="n">
        <f aca="false">IF(AND(J57="",K57="",M57=""),"",IF(OR(AND(N(K57)&gt;0,L57=""),AND(N(M57)&gt;0,N57="")),"à compléter",N(J57)+N(K57)*N(L57)+N(M57)*N(N57)))</f>
        <v>38</v>
      </c>
      <c r="P57" s="4"/>
      <c r="Q57" s="6"/>
    </row>
    <row r="58" customFormat="false" ht="15" hidden="false" customHeight="false" outlineLevel="0" collapsed="false">
      <c r="A58" s="4" t="n">
        <v>57</v>
      </c>
      <c r="B58" s="4" t="s">
        <v>36</v>
      </c>
      <c r="C58" s="4" t="s">
        <v>142</v>
      </c>
      <c r="D58" s="4" t="s">
        <v>142</v>
      </c>
      <c r="E58" s="4" t="s">
        <v>38</v>
      </c>
      <c r="F58" s="4" t="n">
        <v>135</v>
      </c>
      <c r="G58" s="4" t="s">
        <v>136</v>
      </c>
      <c r="H58" s="4"/>
      <c r="I58" s="4"/>
      <c r="J58" s="4" t="n">
        <v>3</v>
      </c>
      <c r="K58" s="4"/>
      <c r="L58" s="4"/>
      <c r="M58" s="4"/>
      <c r="N58" s="4"/>
      <c r="O58" s="5" t="n">
        <f aca="false">IF(AND(J58="",K58="",M58=""),"",IF(OR(AND(N(K58)&gt;0,L58=""),AND(N(M58)&gt;0,N58="")),"à compléter",N(J58)+N(K58)*N(L58)+N(M58)*N(N58)))</f>
        <v>3</v>
      </c>
      <c r="P58" s="4"/>
      <c r="Q58" s="6"/>
    </row>
    <row r="59" customFormat="false" ht="15" hidden="false" customHeight="false" outlineLevel="0" collapsed="false">
      <c r="A59" s="4" t="n">
        <v>58</v>
      </c>
      <c r="B59" s="4" t="s">
        <v>36</v>
      </c>
      <c r="C59" s="4" t="s">
        <v>143</v>
      </c>
      <c r="D59" s="4" t="s">
        <v>143</v>
      </c>
      <c r="E59" s="4" t="s">
        <v>38</v>
      </c>
      <c r="F59" s="4" t="n">
        <v>85</v>
      </c>
      <c r="G59" s="4" t="s">
        <v>144</v>
      </c>
      <c r="H59" s="4"/>
      <c r="I59" s="4"/>
      <c r="J59" s="4" t="n">
        <v>27</v>
      </c>
      <c r="K59" s="4"/>
      <c r="L59" s="4"/>
      <c r="M59" s="4"/>
      <c r="N59" s="4"/>
      <c r="O59" s="5" t="n">
        <f aca="false">IF(AND(J59="",K59="",M59=""),"",IF(OR(AND(N(K59)&gt;0,L59=""),AND(N(M59)&gt;0,N59="")),"à compléter",N(J59)+N(K59)*N(L59)+N(M59)*N(N59)))</f>
        <v>27</v>
      </c>
      <c r="P59" s="4"/>
      <c r="Q59" s="6"/>
    </row>
    <row r="60" customFormat="false" ht="15" hidden="false" customHeight="false" outlineLevel="0" collapsed="false">
      <c r="A60" s="4" t="n">
        <v>59</v>
      </c>
      <c r="B60" s="4" t="s">
        <v>36</v>
      </c>
      <c r="C60" s="4" t="s">
        <v>145</v>
      </c>
      <c r="D60" s="4" t="s">
        <v>145</v>
      </c>
      <c r="E60" s="4" t="s">
        <v>38</v>
      </c>
      <c r="F60" s="4" t="n">
        <v>300</v>
      </c>
      <c r="G60" s="4" t="s">
        <v>103</v>
      </c>
      <c r="H60" s="4"/>
      <c r="I60" s="4"/>
      <c r="J60" s="4" t="n">
        <v>12</v>
      </c>
      <c r="K60" s="4"/>
      <c r="L60" s="4"/>
      <c r="M60" s="4"/>
      <c r="N60" s="4"/>
      <c r="O60" s="5" t="n">
        <f aca="false">IF(AND(J60="",K60="",M60=""),"",IF(OR(AND(N(K60)&gt;0,L60=""),AND(N(M60)&gt;0,N60="")),"à compléter",N(J60)+N(K60)*N(L60)+N(M60)*N(N60)))</f>
        <v>12</v>
      </c>
      <c r="P60" s="4"/>
      <c r="Q60" s="6"/>
    </row>
    <row r="61" customFormat="false" ht="15" hidden="false" customHeight="false" outlineLevel="0" collapsed="false">
      <c r="A61" s="4" t="n">
        <v>60</v>
      </c>
      <c r="B61" s="4" t="s">
        <v>36</v>
      </c>
      <c r="C61" s="4" t="s">
        <v>146</v>
      </c>
      <c r="D61" s="4" t="s">
        <v>146</v>
      </c>
      <c r="E61" s="4" t="s">
        <v>38</v>
      </c>
      <c r="F61" s="4" t="n">
        <v>250</v>
      </c>
      <c r="G61" s="4" t="s">
        <v>114</v>
      </c>
      <c r="H61" s="4"/>
      <c r="I61" s="4"/>
      <c r="J61" s="4" t="n">
        <v>40</v>
      </c>
      <c r="K61" s="4"/>
      <c r="L61" s="4"/>
      <c r="M61" s="4"/>
      <c r="N61" s="4"/>
      <c r="O61" s="5" t="n">
        <f aca="false">IF(AND(J61="",K61="",M61=""),"",IF(OR(AND(N(K61)&gt;0,L61=""),AND(N(M61)&gt;0,N61="")),"à compléter",N(J61)+N(K61)*N(L61)+N(M61)*N(N61)))</f>
        <v>40</v>
      </c>
      <c r="P61" s="4"/>
      <c r="Q61" s="6"/>
    </row>
    <row r="62" customFormat="false" ht="15" hidden="false" customHeight="false" outlineLevel="0" collapsed="false">
      <c r="A62" s="4" t="n">
        <v>61</v>
      </c>
      <c r="B62" s="4" t="s">
        <v>36</v>
      </c>
      <c r="C62" s="4" t="s">
        <v>147</v>
      </c>
      <c r="D62" s="4" t="s">
        <v>147</v>
      </c>
      <c r="E62" s="4" t="s">
        <v>38</v>
      </c>
      <c r="F62" s="4" t="n">
        <v>400</v>
      </c>
      <c r="G62" s="4" t="s">
        <v>148</v>
      </c>
      <c r="H62" s="4"/>
      <c r="I62" s="4"/>
      <c r="J62" s="4" t="n">
        <v>34</v>
      </c>
      <c r="K62" s="4"/>
      <c r="L62" s="4"/>
      <c r="M62" s="4"/>
      <c r="N62" s="4"/>
      <c r="O62" s="5" t="n">
        <f aca="false">IF(AND(J62="",K62="",M62=""),"",IF(OR(AND(N(K62)&gt;0,L62=""),AND(N(M62)&gt;0,N62="")),"à compléter",N(J62)+N(K62)*N(L62)+N(M62)*N(N62)))</f>
        <v>34</v>
      </c>
      <c r="P62" s="4"/>
      <c r="Q62" s="6"/>
    </row>
    <row r="63" customFormat="false" ht="15" hidden="false" customHeight="false" outlineLevel="0" collapsed="false">
      <c r="A63" s="4" t="n">
        <v>62</v>
      </c>
      <c r="B63" s="4" t="s">
        <v>36</v>
      </c>
      <c r="C63" s="4" t="s">
        <v>149</v>
      </c>
      <c r="D63" s="4" t="s">
        <v>149</v>
      </c>
      <c r="E63" s="4" t="s">
        <v>38</v>
      </c>
      <c r="F63" s="4" t="n">
        <v>500</v>
      </c>
      <c r="G63" s="4" t="s">
        <v>83</v>
      </c>
      <c r="H63" s="4"/>
      <c r="I63" s="4"/>
      <c r="J63" s="4" t="n">
        <v>24</v>
      </c>
      <c r="K63" s="4"/>
      <c r="L63" s="4"/>
      <c r="M63" s="4"/>
      <c r="N63" s="4"/>
      <c r="O63" s="5" t="n">
        <f aca="false">IF(AND(J63="",K63="",M63=""),"",IF(OR(AND(N(K63)&gt;0,L63=""),AND(N(M63)&gt;0,N63="")),"à compléter",N(J63)+N(K63)*N(L63)+N(M63)*N(N63)))</f>
        <v>24</v>
      </c>
      <c r="P63" s="4"/>
      <c r="Q63" s="6"/>
    </row>
    <row r="64" customFormat="false" ht="15" hidden="false" customHeight="false" outlineLevel="0" collapsed="false">
      <c r="A64" s="4" t="n">
        <v>63</v>
      </c>
      <c r="B64" s="4" t="s">
        <v>36</v>
      </c>
      <c r="C64" s="4" t="s">
        <v>150</v>
      </c>
      <c r="D64" s="4" t="s">
        <v>150</v>
      </c>
      <c r="E64" s="4" t="s">
        <v>38</v>
      </c>
      <c r="F64" s="4" t="n">
        <v>170</v>
      </c>
      <c r="G64" s="4" t="s">
        <v>66</v>
      </c>
      <c r="H64" s="4"/>
      <c r="I64" s="4"/>
      <c r="J64" s="4" t="n">
        <v>7</v>
      </c>
      <c r="K64" s="4"/>
      <c r="L64" s="4"/>
      <c r="M64" s="4"/>
      <c r="N64" s="4"/>
      <c r="O64" s="5" t="n">
        <f aca="false">IF(AND(J64="",K64="",M64=""),"",IF(OR(AND(N(K64)&gt;0,L64=""),AND(N(M64)&gt;0,N64="")),"à compléter",N(J64)+N(K64)*N(L64)+N(M64)*N(N64)))</f>
        <v>7</v>
      </c>
      <c r="P64" s="4"/>
      <c r="Q64" s="6"/>
    </row>
    <row r="65" customFormat="false" ht="15" hidden="false" customHeight="false" outlineLevel="0" collapsed="false">
      <c r="A65" s="4" t="n">
        <v>64</v>
      </c>
      <c r="B65" s="4" t="s">
        <v>36</v>
      </c>
      <c r="C65" s="4" t="s">
        <v>151</v>
      </c>
      <c r="D65" s="4" t="s">
        <v>151</v>
      </c>
      <c r="E65" s="4" t="s">
        <v>38</v>
      </c>
      <c r="F65" s="4" t="n">
        <v>1000</v>
      </c>
      <c r="G65" s="4" t="s">
        <v>47</v>
      </c>
      <c r="H65" s="4"/>
      <c r="I65" s="4"/>
      <c r="J65" s="4" t="n">
        <v>5</v>
      </c>
      <c r="K65" s="4"/>
      <c r="L65" s="4"/>
      <c r="M65" s="4"/>
      <c r="N65" s="4"/>
      <c r="O65" s="5" t="n">
        <f aca="false">IF(AND(J65="",K65="",M65=""),"",IF(OR(AND(N(K65)&gt;0,L65=""),AND(N(M65)&gt;0,N65="")),"à compléter",N(J65)+N(K65)*N(L65)+N(M65)*N(N65)))</f>
        <v>5</v>
      </c>
      <c r="P65" s="4"/>
      <c r="Q65" s="6"/>
    </row>
    <row r="66" customFormat="false" ht="15" hidden="false" customHeight="false" outlineLevel="0" collapsed="false">
      <c r="A66" s="4" t="n">
        <v>65</v>
      </c>
      <c r="B66" s="4" t="s">
        <v>36</v>
      </c>
      <c r="C66" s="4" t="s">
        <v>152</v>
      </c>
      <c r="D66" s="4" t="s">
        <v>152</v>
      </c>
      <c r="E66" s="4" t="s">
        <v>38</v>
      </c>
      <c r="F66" s="4" t="n">
        <v>1500</v>
      </c>
      <c r="G66" s="4" t="s">
        <v>153</v>
      </c>
      <c r="H66" s="4"/>
      <c r="I66" s="4"/>
      <c r="J66" s="4" t="n">
        <v>9</v>
      </c>
      <c r="K66" s="4"/>
      <c r="L66" s="4"/>
      <c r="M66" s="4"/>
      <c r="N66" s="4"/>
      <c r="O66" s="5" t="n">
        <f aca="false">IF(AND(J66="",K66="",M66=""),"",IF(OR(AND(N(K66)&gt;0,L66=""),AND(N(M66)&gt;0,N66="")),"à compléter",N(J66)+N(K66)*N(L66)+N(M66)*N(N66)))</f>
        <v>9</v>
      </c>
      <c r="P66" s="4"/>
      <c r="Q66" s="6"/>
    </row>
    <row r="67" customFormat="false" ht="15" hidden="false" customHeight="false" outlineLevel="0" collapsed="false">
      <c r="A67" s="4" t="n">
        <v>66</v>
      </c>
      <c r="B67" s="4" t="s">
        <v>36</v>
      </c>
      <c r="C67" s="4" t="s">
        <v>154</v>
      </c>
      <c r="D67" s="4" t="s">
        <v>154</v>
      </c>
      <c r="E67" s="4" t="s">
        <v>38</v>
      </c>
      <c r="F67" s="4" t="n">
        <v>1300</v>
      </c>
      <c r="G67" s="4" t="s">
        <v>68</v>
      </c>
      <c r="H67" s="4"/>
      <c r="I67" s="4"/>
      <c r="J67" s="4" t="n">
        <v>4</v>
      </c>
      <c r="K67" s="4"/>
      <c r="L67" s="4"/>
      <c r="M67" s="4"/>
      <c r="N67" s="4"/>
      <c r="O67" s="5" t="n">
        <f aca="false">IF(AND(J67="",K67="",M67=""),"",IF(OR(AND(N(K67)&gt;0,L67=""),AND(N(M67)&gt;0,N67="")),"à compléter",N(J67)+N(K67)*N(L67)+N(M67)*N(N67)))</f>
        <v>4</v>
      </c>
      <c r="P67" s="4"/>
      <c r="Q67" s="6"/>
    </row>
    <row r="68" customFormat="false" ht="15" hidden="false" customHeight="false" outlineLevel="0" collapsed="false">
      <c r="A68" s="4" t="n">
        <v>67</v>
      </c>
      <c r="B68" s="4" t="s">
        <v>36</v>
      </c>
      <c r="C68" s="4" t="s">
        <v>155</v>
      </c>
      <c r="D68" s="4" t="s">
        <v>155</v>
      </c>
      <c r="E68" s="4" t="s">
        <v>38</v>
      </c>
      <c r="F68" s="4" t="n">
        <v>335</v>
      </c>
      <c r="G68" s="4" t="s">
        <v>156</v>
      </c>
      <c r="H68" s="4"/>
      <c r="I68" s="4"/>
      <c r="J68" s="4" t="n">
        <v>10</v>
      </c>
      <c r="K68" s="4"/>
      <c r="L68" s="4"/>
      <c r="M68" s="4"/>
      <c r="N68" s="4"/>
      <c r="O68" s="5" t="n">
        <f aca="false">IF(AND(J68="",K68="",M68=""),"",IF(OR(AND(N(K68)&gt;0,L68=""),AND(N(M68)&gt;0,N68="")),"à compléter",N(J68)+N(K68)*N(L68)+N(M68)*N(N68)))</f>
        <v>10</v>
      </c>
      <c r="P68" s="4"/>
      <c r="Q68" s="6"/>
    </row>
    <row r="69" customFormat="false" ht="15" hidden="false" customHeight="false" outlineLevel="0" collapsed="false">
      <c r="A69" s="4" t="n">
        <v>68</v>
      </c>
      <c r="B69" s="7" t="s">
        <v>157</v>
      </c>
      <c r="C69" s="4" t="s">
        <v>158</v>
      </c>
      <c r="D69" s="7" t="s">
        <v>158</v>
      </c>
      <c r="E69" s="4" t="s">
        <v>38</v>
      </c>
      <c r="F69" s="6"/>
      <c r="G69" s="4"/>
      <c r="H69" s="4"/>
      <c r="I69" s="4"/>
      <c r="J69" s="4" t="n">
        <v>0</v>
      </c>
      <c r="K69" s="4"/>
      <c r="L69" s="4"/>
      <c r="M69" s="4"/>
      <c r="N69" s="4"/>
      <c r="O69" s="5" t="n">
        <f aca="false">IF(AND(J69="",K69="",M69=""),"",IF(OR(AND(N(K69)&gt;0,L69=""),AND(N(M69)&gt;0,N69="")),"à compléter",N(J69)+N(K69)*N(L69)+N(M69)*N(N69)))</f>
        <v>0</v>
      </c>
      <c r="P69" s="4" t="s">
        <v>159</v>
      </c>
      <c r="Q69" s="4"/>
    </row>
    <row r="70" customFormat="false" ht="15" hidden="false" customHeight="false" outlineLevel="0" collapsed="false">
      <c r="A70" s="4" t="n">
        <v>69</v>
      </c>
      <c r="B70" s="4" t="s">
        <v>36</v>
      </c>
      <c r="C70" s="4" t="s">
        <v>160</v>
      </c>
      <c r="D70" s="4" t="s">
        <v>160</v>
      </c>
      <c r="E70" s="4" t="s">
        <v>38</v>
      </c>
      <c r="F70" s="4" t="n">
        <v>85</v>
      </c>
      <c r="G70" s="4" t="s">
        <v>161</v>
      </c>
      <c r="H70" s="4"/>
      <c r="I70" s="4"/>
      <c r="J70" s="4" t="n">
        <v>44</v>
      </c>
      <c r="K70" s="4"/>
      <c r="L70" s="4"/>
      <c r="M70" s="4"/>
      <c r="N70" s="4"/>
      <c r="O70" s="5" t="n">
        <f aca="false">IF(AND(J70="",K70="",M70=""),"",IF(OR(AND(N(K70)&gt;0,L70=""),AND(N(M70)&gt;0,N70="")),"à compléter",N(J70)+N(K70)*N(L70)+N(M70)*N(N70)))</f>
        <v>44</v>
      </c>
      <c r="P70" s="4"/>
      <c r="Q70" s="6"/>
    </row>
    <row r="71" customFormat="false" ht="15" hidden="false" customHeight="false" outlineLevel="0" collapsed="false">
      <c r="A71" s="4" t="n">
        <v>70</v>
      </c>
      <c r="B71" s="4" t="s">
        <v>36</v>
      </c>
      <c r="C71" s="4" t="s">
        <v>162</v>
      </c>
      <c r="D71" s="4" t="s">
        <v>162</v>
      </c>
      <c r="E71" s="4" t="s">
        <v>38</v>
      </c>
      <c r="F71" s="4" t="n">
        <v>400</v>
      </c>
      <c r="G71" s="4" t="s">
        <v>49</v>
      </c>
      <c r="H71" s="4"/>
      <c r="I71" s="4"/>
      <c r="J71" s="4" t="n">
        <v>28</v>
      </c>
      <c r="K71" s="4"/>
      <c r="L71" s="4"/>
      <c r="M71" s="4"/>
      <c r="N71" s="4"/>
      <c r="O71" s="5" t="n">
        <f aca="false">IF(AND(J71="",K71="",M71=""),"",IF(OR(AND(N(K71)&gt;0,L71=""),AND(N(M71)&gt;0,N71="")),"à compléter",N(J71)+N(K71)*N(L71)+N(M71)*N(N71)))</f>
        <v>28</v>
      </c>
      <c r="P71" s="4"/>
      <c r="Q71" s="6"/>
    </row>
    <row r="72" customFormat="false" ht="15" hidden="false" customHeight="false" outlineLevel="0" collapsed="false">
      <c r="A72" s="4" t="n">
        <v>71</v>
      </c>
      <c r="B72" s="4" t="s">
        <v>36</v>
      </c>
      <c r="C72" s="4" t="s">
        <v>163</v>
      </c>
      <c r="D72" s="4" t="s">
        <v>163</v>
      </c>
      <c r="E72" s="4" t="s">
        <v>38</v>
      </c>
      <c r="F72" s="4" t="n">
        <v>500</v>
      </c>
      <c r="G72" s="4" t="s">
        <v>164</v>
      </c>
      <c r="H72" s="4"/>
      <c r="I72" s="4"/>
      <c r="J72" s="4" t="n">
        <v>41</v>
      </c>
      <c r="K72" s="4"/>
      <c r="L72" s="4"/>
      <c r="M72" s="4"/>
      <c r="N72" s="4"/>
      <c r="O72" s="5" t="n">
        <f aca="false">IF(AND(J72="",K72="",M72=""),"",IF(OR(AND(N(K72)&gt;0,L72=""),AND(N(M72)&gt;0,N72="")),"à compléter",N(J72)+N(K72)*N(L72)+N(M72)*N(N72)))</f>
        <v>41</v>
      </c>
      <c r="P72" s="4"/>
      <c r="Q72" s="6"/>
    </row>
    <row r="73" customFormat="false" ht="15" hidden="false" customHeight="false" outlineLevel="0" collapsed="false">
      <c r="A73" s="4" t="n">
        <v>72</v>
      </c>
      <c r="B73" s="4" t="s">
        <v>36</v>
      </c>
      <c r="C73" s="4" t="s">
        <v>165</v>
      </c>
      <c r="D73" s="4" t="s">
        <v>165</v>
      </c>
      <c r="E73" s="4" t="s">
        <v>38</v>
      </c>
      <c r="F73" s="4" t="n">
        <v>700</v>
      </c>
      <c r="G73" s="4" t="s">
        <v>49</v>
      </c>
      <c r="H73" s="4"/>
      <c r="I73" s="4"/>
      <c r="J73" s="4" t="n">
        <v>28</v>
      </c>
      <c r="K73" s="4"/>
      <c r="L73" s="4"/>
      <c r="M73" s="4"/>
      <c r="N73" s="4"/>
      <c r="O73" s="5" t="n">
        <f aca="false">IF(AND(J73="",K73="",M73=""),"",IF(OR(AND(N(K73)&gt;0,L73=""),AND(N(M73)&gt;0,N73="")),"à compléter",N(J73)+N(K73)*N(L73)+N(M73)*N(N73)))</f>
        <v>28</v>
      </c>
      <c r="P73" s="4"/>
      <c r="Q73" s="6"/>
    </row>
    <row r="74" customFormat="false" ht="15" hidden="false" customHeight="false" outlineLevel="0" collapsed="false">
      <c r="A74" s="4" t="n">
        <v>73</v>
      </c>
      <c r="B74" s="4" t="s">
        <v>36</v>
      </c>
      <c r="C74" s="4" t="s">
        <v>166</v>
      </c>
      <c r="D74" s="4" t="s">
        <v>166</v>
      </c>
      <c r="E74" s="4" t="s">
        <v>38</v>
      </c>
      <c r="F74" s="4" t="n">
        <v>700</v>
      </c>
      <c r="G74" s="4" t="s">
        <v>122</v>
      </c>
      <c r="H74" s="4"/>
      <c r="I74" s="4"/>
      <c r="J74" s="4" t="n">
        <v>6</v>
      </c>
      <c r="K74" s="4"/>
      <c r="L74" s="4"/>
      <c r="M74" s="4"/>
      <c r="N74" s="4"/>
      <c r="O74" s="5" t="n">
        <f aca="false">IF(AND(J74="",K74="",M74=""),"",IF(OR(AND(N(K74)&gt;0,L74=""),AND(N(M74)&gt;0,N74="")),"à compléter",N(J74)+N(K74)*N(L74)+N(M74)*N(N74)))</f>
        <v>6</v>
      </c>
      <c r="P74" s="4"/>
      <c r="Q74" s="6"/>
    </row>
    <row r="75" customFormat="false" ht="15" hidden="false" customHeight="false" outlineLevel="0" collapsed="false">
      <c r="A75" s="4" t="n">
        <v>74</v>
      </c>
      <c r="B75" s="4" t="s">
        <v>36</v>
      </c>
      <c r="C75" s="4" t="s">
        <v>167</v>
      </c>
      <c r="D75" s="4" t="s">
        <v>167</v>
      </c>
      <c r="E75" s="4" t="s">
        <v>38</v>
      </c>
      <c r="F75" s="4" t="n">
        <v>150</v>
      </c>
      <c r="G75" s="4" t="s">
        <v>43</v>
      </c>
      <c r="H75" s="4"/>
      <c r="I75" s="4"/>
      <c r="J75" s="4" t="n">
        <v>0</v>
      </c>
      <c r="K75" s="4"/>
      <c r="L75" s="4"/>
      <c r="M75" s="4"/>
      <c r="N75" s="4"/>
      <c r="O75" s="5" t="n">
        <f aca="false">IF(AND(J75="",K75="",M75=""),"",IF(OR(AND(N(K75)&gt;0,L75=""),AND(N(M75)&gt;0,N75="")),"à compléter",N(J75)+N(K75)*N(L75)+N(M75)*N(N75)))</f>
        <v>0</v>
      </c>
      <c r="P75" s="4"/>
      <c r="Q75" s="6"/>
    </row>
    <row r="76" customFormat="false" ht="15" hidden="false" customHeight="false" outlineLevel="0" collapsed="false">
      <c r="A76" s="4" t="n">
        <v>75</v>
      </c>
      <c r="B76" s="4" t="s">
        <v>36</v>
      </c>
      <c r="C76" s="4" t="s">
        <v>168</v>
      </c>
      <c r="D76" s="4" t="s">
        <v>168</v>
      </c>
      <c r="E76" s="4" t="s">
        <v>38</v>
      </c>
      <c r="F76" s="4" t="n">
        <v>300</v>
      </c>
      <c r="G76" s="4" t="s">
        <v>95</v>
      </c>
      <c r="H76" s="4"/>
      <c r="I76" s="4"/>
      <c r="J76" s="4" t="n">
        <v>20</v>
      </c>
      <c r="K76" s="4"/>
      <c r="L76" s="4"/>
      <c r="M76" s="4"/>
      <c r="N76" s="4"/>
      <c r="O76" s="5" t="n">
        <f aca="false">IF(AND(J76="",K76="",M76=""),"",IF(OR(AND(N(K76)&gt;0,L76=""),AND(N(M76)&gt;0,N76="")),"à compléter",N(J76)+N(K76)*N(L76)+N(M76)*N(N76)))</f>
        <v>20</v>
      </c>
      <c r="P76" s="4"/>
      <c r="Q76" s="6"/>
    </row>
    <row r="77" customFormat="false" ht="15" hidden="false" customHeight="false" outlineLevel="0" collapsed="false">
      <c r="A77" s="4" t="n">
        <v>76</v>
      </c>
      <c r="B77" s="4" t="s">
        <v>36</v>
      </c>
      <c r="C77" s="4" t="s">
        <v>169</v>
      </c>
      <c r="D77" s="4" t="s">
        <v>169</v>
      </c>
      <c r="E77" s="4" t="s">
        <v>38</v>
      </c>
      <c r="F77" s="4" t="n">
        <v>2000</v>
      </c>
      <c r="G77" s="4" t="s">
        <v>66</v>
      </c>
      <c r="H77" s="4"/>
      <c r="I77" s="4"/>
      <c r="J77" s="4" t="n">
        <v>7</v>
      </c>
      <c r="K77" s="4"/>
      <c r="L77" s="4"/>
      <c r="M77" s="4"/>
      <c r="N77" s="4"/>
      <c r="O77" s="5" t="n">
        <f aca="false">IF(AND(J77="",K77="",M77=""),"",IF(OR(AND(N(K77)&gt;0,L77=""),AND(N(M77)&gt;0,N77="")),"à compléter",N(J77)+N(K77)*N(L77)+N(M77)*N(N77)))</f>
        <v>7</v>
      </c>
      <c r="P77" s="4"/>
      <c r="Q77" s="6"/>
    </row>
    <row r="78" customFormat="false" ht="15" hidden="false" customHeight="false" outlineLevel="0" collapsed="false">
      <c r="A78" s="4" t="n">
        <v>77</v>
      </c>
      <c r="B78" s="4" t="s">
        <v>36</v>
      </c>
      <c r="C78" s="4" t="s">
        <v>170</v>
      </c>
      <c r="D78" s="4" t="s">
        <v>170</v>
      </c>
      <c r="E78" s="4" t="s">
        <v>38</v>
      </c>
      <c r="F78" s="4" t="n">
        <v>1000</v>
      </c>
      <c r="G78" s="4" t="s">
        <v>171</v>
      </c>
      <c r="H78" s="4"/>
      <c r="I78" s="4"/>
      <c r="J78" s="4" t="n">
        <v>17</v>
      </c>
      <c r="K78" s="4"/>
      <c r="L78" s="4"/>
      <c r="M78" s="4"/>
      <c r="N78" s="4"/>
      <c r="O78" s="5" t="n">
        <f aca="false">IF(AND(J78="",K78="",M78=""),"",IF(OR(AND(N(K78)&gt;0,L78=""),AND(N(M78)&gt;0,N78="")),"à compléter",N(J78)+N(K78)*N(L78)+N(M78)*N(N78)))</f>
        <v>17</v>
      </c>
      <c r="P78" s="4"/>
      <c r="Q78" s="6"/>
    </row>
    <row r="79" customFormat="false" ht="15" hidden="false" customHeight="false" outlineLevel="0" collapsed="false">
      <c r="A79" s="4" t="n">
        <v>78</v>
      </c>
      <c r="B79" s="4" t="s">
        <v>36</v>
      </c>
      <c r="C79" s="4" t="s">
        <v>172</v>
      </c>
      <c r="D79" s="4" t="s">
        <v>172</v>
      </c>
      <c r="E79" s="4" t="s">
        <v>38</v>
      </c>
      <c r="F79" s="4" t="n">
        <v>200</v>
      </c>
      <c r="G79" s="4" t="s">
        <v>173</v>
      </c>
      <c r="H79" s="4"/>
      <c r="I79" s="4"/>
      <c r="J79" s="4" t="n">
        <v>48</v>
      </c>
      <c r="K79" s="4"/>
      <c r="L79" s="4"/>
      <c r="M79" s="4"/>
      <c r="N79" s="4"/>
      <c r="O79" s="5" t="n">
        <f aca="false">IF(AND(J79="",K79="",M79=""),"",IF(OR(AND(N(K79)&gt;0,L79=""),AND(N(M79)&gt;0,N79="")),"à compléter",N(J79)+N(K79)*N(L79)+N(M79)*N(N79)))</f>
        <v>48</v>
      </c>
      <c r="P79" s="4"/>
      <c r="Q79" s="6"/>
    </row>
    <row r="80" customFormat="false" ht="15" hidden="false" customHeight="false" outlineLevel="0" collapsed="false">
      <c r="A80" s="4" t="n">
        <v>79</v>
      </c>
      <c r="B80" s="4" t="s">
        <v>36</v>
      </c>
      <c r="C80" s="4" t="s">
        <v>174</v>
      </c>
      <c r="D80" s="4" t="s">
        <v>174</v>
      </c>
      <c r="E80" s="4" t="s">
        <v>38</v>
      </c>
      <c r="F80" s="4" t="n">
        <v>500</v>
      </c>
      <c r="G80" s="4" t="s">
        <v>175</v>
      </c>
      <c r="H80" s="4" t="s">
        <v>176</v>
      </c>
      <c r="I80" s="4"/>
      <c r="J80" s="4" t="n">
        <v>36</v>
      </c>
      <c r="K80" s="4"/>
      <c r="L80" s="4"/>
      <c r="M80" s="4"/>
      <c r="N80" s="4"/>
      <c r="O80" s="5" t="n">
        <f aca="false">IF(AND(J80="",K80="",M80=""),"",IF(OR(AND(N(K80)&gt;0,L80=""),AND(N(M80)&gt;0,N80="")),"à compléter",N(J80)+N(K80)*N(L80)+N(M80)*N(N80)))</f>
        <v>36</v>
      </c>
      <c r="P80" s="4"/>
      <c r="Q80" s="6"/>
    </row>
    <row r="81" customFormat="false" ht="26.85" hidden="false" customHeight="false" outlineLevel="0" collapsed="false">
      <c r="A81" s="4" t="n">
        <v>80</v>
      </c>
      <c r="B81" s="4" t="s">
        <v>36</v>
      </c>
      <c r="C81" s="4" t="s">
        <v>177</v>
      </c>
      <c r="D81" s="4" t="s">
        <v>177</v>
      </c>
      <c r="E81" s="4" t="s">
        <v>38</v>
      </c>
      <c r="F81" s="4" t="n">
        <v>1000</v>
      </c>
      <c r="G81" s="4" t="s">
        <v>129</v>
      </c>
      <c r="H81" s="4"/>
      <c r="I81" s="4"/>
      <c r="J81" s="4" t="n">
        <v>2</v>
      </c>
      <c r="K81" s="4"/>
      <c r="L81" s="4"/>
      <c r="M81" s="4"/>
      <c r="N81" s="4"/>
      <c r="O81" s="5" t="n">
        <f aca="false">IF(AND(J81="",K81="",M81=""),"",IF(OR(AND(N(K81)&gt;0,L81=""),AND(N(M81)&gt;0,N81="")),"à compléter",N(J81)+N(K81)*N(L81)+N(M81)*N(N81)))</f>
        <v>2</v>
      </c>
      <c r="P81" s="4" t="s">
        <v>178</v>
      </c>
      <c r="Q81" s="6"/>
    </row>
    <row r="82" customFormat="false" ht="15" hidden="false" customHeight="false" outlineLevel="0" collapsed="false">
      <c r="A82" s="4" t="n">
        <v>81</v>
      </c>
      <c r="B82" s="4" t="s">
        <v>36</v>
      </c>
      <c r="C82" s="4" t="s">
        <v>179</v>
      </c>
      <c r="D82" s="4" t="s">
        <v>179</v>
      </c>
      <c r="E82" s="4" t="s">
        <v>38</v>
      </c>
      <c r="F82" s="4" t="n">
        <v>200</v>
      </c>
      <c r="G82" s="4" t="s">
        <v>180</v>
      </c>
      <c r="H82" s="4"/>
      <c r="I82" s="4"/>
      <c r="J82" s="4" t="n">
        <v>79</v>
      </c>
      <c r="K82" s="4"/>
      <c r="L82" s="4"/>
      <c r="M82" s="4"/>
      <c r="N82" s="4"/>
      <c r="O82" s="5" t="n">
        <f aca="false">IF(AND(J82="",K82="",M82=""),"",IF(OR(AND(N(K82)&gt;0,L82=""),AND(N(M82)&gt;0,N82="")),"à compléter",N(J82)+N(K82)*N(L82)+N(M82)*N(N82)))</f>
        <v>79</v>
      </c>
      <c r="P82" s="4"/>
      <c r="Q82" s="6"/>
    </row>
    <row r="83" customFormat="false" ht="15" hidden="false" customHeight="false" outlineLevel="0" collapsed="false">
      <c r="A83" s="4" t="n">
        <v>82</v>
      </c>
      <c r="B83" s="4" t="s">
        <v>36</v>
      </c>
      <c r="C83" s="4" t="s">
        <v>181</v>
      </c>
      <c r="D83" s="4" t="s">
        <v>181</v>
      </c>
      <c r="E83" s="4" t="s">
        <v>38</v>
      </c>
      <c r="F83" s="4" t="n">
        <v>700</v>
      </c>
      <c r="G83" s="4" t="s">
        <v>182</v>
      </c>
      <c r="H83" s="4" t="s">
        <v>183</v>
      </c>
      <c r="I83" s="4"/>
      <c r="J83" s="4" t="n">
        <v>778</v>
      </c>
      <c r="K83" s="4"/>
      <c r="L83" s="4"/>
      <c r="M83" s="4"/>
      <c r="N83" s="4"/>
      <c r="O83" s="5" t="n">
        <f aca="false">IF(AND(J83="",K83="",M83=""),"",IF(OR(AND(N(K83)&gt;0,L83=""),AND(N(M83)&gt;0,N83="")),"à compléter",N(J83)+N(K83)*N(L83)+N(M83)*N(N83)))</f>
        <v>778</v>
      </c>
      <c r="P83" s="4" t="s">
        <v>184</v>
      </c>
      <c r="Q83" s="6"/>
    </row>
    <row r="84" customFormat="false" ht="15" hidden="false" customHeight="false" outlineLevel="0" collapsed="false">
      <c r="A84" s="4" t="n">
        <v>83</v>
      </c>
      <c r="B84" s="4" t="s">
        <v>36</v>
      </c>
      <c r="C84" s="4" t="s">
        <v>185</v>
      </c>
      <c r="D84" s="4" t="s">
        <v>185</v>
      </c>
      <c r="E84" s="4" t="s">
        <v>38</v>
      </c>
      <c r="F84" s="4" t="n">
        <v>500</v>
      </c>
      <c r="G84" s="4" t="s">
        <v>186</v>
      </c>
      <c r="H84" s="4"/>
      <c r="I84" s="4"/>
      <c r="J84" s="4" t="n">
        <v>111</v>
      </c>
      <c r="K84" s="4"/>
      <c r="L84" s="4"/>
      <c r="M84" s="4"/>
      <c r="N84" s="4"/>
      <c r="O84" s="5" t="n">
        <f aca="false">IF(AND(J84="",K84="",M84=""),"",IF(OR(AND(N(K84)&gt;0,L84=""),AND(N(M84)&gt;0,N84="")),"à compléter",N(J84)+N(K84)*N(L84)+N(M84)*N(N84)))</f>
        <v>111</v>
      </c>
      <c r="P84" s="4"/>
      <c r="Q84" s="6"/>
    </row>
    <row r="85" customFormat="false" ht="15" hidden="false" customHeight="false" outlineLevel="0" collapsed="false">
      <c r="A85" s="4" t="n">
        <v>84</v>
      </c>
      <c r="B85" s="4" t="s">
        <v>36</v>
      </c>
      <c r="C85" s="4" t="s">
        <v>187</v>
      </c>
      <c r="D85" s="4" t="s">
        <v>187</v>
      </c>
      <c r="E85" s="4" t="s">
        <v>38</v>
      </c>
      <c r="F85" s="4" t="n">
        <v>335</v>
      </c>
      <c r="G85" s="4" t="s">
        <v>171</v>
      </c>
      <c r="H85" s="4" t="s">
        <v>188</v>
      </c>
      <c r="I85" s="4"/>
      <c r="J85" s="4" t="n">
        <v>67</v>
      </c>
      <c r="K85" s="4"/>
      <c r="L85" s="4"/>
      <c r="M85" s="4"/>
      <c r="N85" s="4"/>
      <c r="O85" s="5" t="n">
        <f aca="false">IF(AND(J85="",K85="",M85=""),"",IF(OR(AND(N(K85)&gt;0,L85=""),AND(N(M85)&gt;0,N85="")),"à compléter",N(J85)+N(K85)*N(L85)+N(M85)*N(N85)))</f>
        <v>67</v>
      </c>
      <c r="P85" s="4"/>
      <c r="Q85" s="6"/>
    </row>
    <row r="86" customFormat="false" ht="15" hidden="false" customHeight="false" outlineLevel="0" collapsed="false">
      <c r="A86" s="4" t="n">
        <v>85</v>
      </c>
      <c r="B86" s="4" t="s">
        <v>36</v>
      </c>
      <c r="C86" s="4" t="s">
        <v>189</v>
      </c>
      <c r="D86" s="4" t="s">
        <v>189</v>
      </c>
      <c r="E86" s="4" t="s">
        <v>38</v>
      </c>
      <c r="F86" s="4" t="n">
        <v>1000</v>
      </c>
      <c r="G86" s="4" t="s">
        <v>136</v>
      </c>
      <c r="H86" s="4"/>
      <c r="I86" s="4"/>
      <c r="J86" s="4" t="n">
        <v>3</v>
      </c>
      <c r="K86" s="4"/>
      <c r="L86" s="4"/>
      <c r="M86" s="4"/>
      <c r="N86" s="4"/>
      <c r="O86" s="5" t="n">
        <f aca="false">IF(AND(J86="",K86="",M86=""),"",IF(OR(AND(N(K86)&gt;0,L86=""),AND(N(M86)&gt;0,N86="")),"à compléter",N(J86)+N(K86)*N(L86)+N(M86)*N(N86)))</f>
        <v>3</v>
      </c>
      <c r="P86" s="4"/>
      <c r="Q86" s="6"/>
    </row>
    <row r="87" customFormat="false" ht="15" hidden="false" customHeight="false" outlineLevel="0" collapsed="false">
      <c r="A87" s="4" t="n">
        <v>86</v>
      </c>
      <c r="B87" s="4" t="s">
        <v>36</v>
      </c>
      <c r="C87" s="4" t="s">
        <v>190</v>
      </c>
      <c r="D87" s="4" t="s">
        <v>190</v>
      </c>
      <c r="E87" s="4" t="s">
        <v>38</v>
      </c>
      <c r="F87" s="4" t="n">
        <v>250</v>
      </c>
      <c r="G87" s="4" t="s">
        <v>191</v>
      </c>
      <c r="H87" s="4"/>
      <c r="I87" s="4"/>
      <c r="J87" s="4" t="n">
        <v>35</v>
      </c>
      <c r="K87" s="4"/>
      <c r="L87" s="4"/>
      <c r="M87" s="4"/>
      <c r="N87" s="4"/>
      <c r="O87" s="5" t="n">
        <f aca="false">IF(AND(J87="",K87="",M87=""),"",IF(OR(AND(N(K87)&gt;0,L87=""),AND(N(M87)&gt;0,N87="")),"à compléter",N(J87)+N(K87)*N(L87)+N(M87)*N(N87)))</f>
        <v>35</v>
      </c>
      <c r="P87" s="4"/>
      <c r="Q87" s="6"/>
    </row>
    <row r="88" customFormat="false" ht="15" hidden="false" customHeight="false" outlineLevel="0" collapsed="false">
      <c r="A88" s="4" t="n">
        <v>87</v>
      </c>
      <c r="B88" s="4" t="s">
        <v>36</v>
      </c>
      <c r="C88" s="4" t="s">
        <v>192</v>
      </c>
      <c r="D88" s="4" t="s">
        <v>192</v>
      </c>
      <c r="E88" s="4" t="s">
        <v>38</v>
      </c>
      <c r="F88" s="4" t="n">
        <v>335</v>
      </c>
      <c r="G88" s="4" t="s">
        <v>193</v>
      </c>
      <c r="H88" s="4"/>
      <c r="I88" s="4"/>
      <c r="J88" s="4" t="n">
        <v>30</v>
      </c>
      <c r="K88" s="4"/>
      <c r="L88" s="4"/>
      <c r="M88" s="4"/>
      <c r="N88" s="4"/>
      <c r="O88" s="5" t="n">
        <f aca="false">IF(AND(J88="",K88="",M88=""),"",IF(OR(AND(N(K88)&gt;0,L88=""),AND(N(M88)&gt;0,N88="")),"à compléter",N(J88)+N(K88)*N(L88)+N(M88)*N(N88)))</f>
        <v>30</v>
      </c>
      <c r="P88" s="4"/>
      <c r="Q88" s="6"/>
    </row>
    <row r="89" customFormat="false" ht="15" hidden="false" customHeight="false" outlineLevel="0" collapsed="false">
      <c r="A89" s="4" t="n">
        <v>88</v>
      </c>
      <c r="B89" s="4" t="s">
        <v>36</v>
      </c>
      <c r="C89" s="4" t="s">
        <v>194</v>
      </c>
      <c r="D89" s="4" t="s">
        <v>194</v>
      </c>
      <c r="E89" s="4" t="s">
        <v>38</v>
      </c>
      <c r="F89" s="4" t="n">
        <v>6000</v>
      </c>
      <c r="G89" s="4" t="s">
        <v>47</v>
      </c>
      <c r="H89" s="4"/>
      <c r="I89" s="4"/>
      <c r="J89" s="4" t="n">
        <v>5</v>
      </c>
      <c r="K89" s="4"/>
      <c r="L89" s="4"/>
      <c r="M89" s="4"/>
      <c r="N89" s="4"/>
      <c r="O89" s="5" t="n">
        <f aca="false">IF(AND(J89="",K89="",M89=""),"",IF(OR(AND(N(K89)&gt;0,L89=""),AND(N(M89)&gt;0,N89="")),"à compléter",N(J89)+N(K89)*N(L89)+N(M89)*N(N89)))</f>
        <v>5</v>
      </c>
      <c r="P89" s="4"/>
      <c r="Q89" s="6"/>
    </row>
    <row r="90" customFormat="false" ht="15" hidden="false" customHeight="false" outlineLevel="0" collapsed="false">
      <c r="A90" s="4" t="n">
        <v>89</v>
      </c>
      <c r="B90" s="4" t="s">
        <v>36</v>
      </c>
      <c r="C90" s="4" t="s">
        <v>195</v>
      </c>
      <c r="D90" s="4" t="s">
        <v>195</v>
      </c>
      <c r="E90" s="4" t="s">
        <v>38</v>
      </c>
      <c r="F90" s="4" t="n">
        <v>6000</v>
      </c>
      <c r="G90" s="4" t="s">
        <v>196</v>
      </c>
      <c r="H90" s="4"/>
      <c r="I90" s="4"/>
      <c r="J90" s="4" t="n">
        <v>1</v>
      </c>
      <c r="K90" s="4"/>
      <c r="L90" s="4"/>
      <c r="M90" s="4"/>
      <c r="N90" s="4"/>
      <c r="O90" s="5" t="n">
        <f aca="false">IF(AND(J90="",K90="",M90=""),"",IF(OR(AND(N(K90)&gt;0,L90=""),AND(N(M90)&gt;0,N90="")),"à compléter",N(J90)+N(K90)*N(L90)+N(M90)*N(N90)))</f>
        <v>1</v>
      </c>
      <c r="P90" s="4"/>
      <c r="Q90" s="6"/>
    </row>
    <row r="91" customFormat="false" ht="15" hidden="false" customHeight="false" outlineLevel="0" collapsed="false">
      <c r="A91" s="4" t="n">
        <v>90</v>
      </c>
      <c r="B91" s="4" t="s">
        <v>36</v>
      </c>
      <c r="C91" s="4" t="s">
        <v>197</v>
      </c>
      <c r="D91" s="4" t="s">
        <v>197</v>
      </c>
      <c r="E91" s="4" t="s">
        <v>38</v>
      </c>
      <c r="F91" s="4" t="n">
        <v>335</v>
      </c>
      <c r="G91" s="4" t="s">
        <v>86</v>
      </c>
      <c r="H91" s="4"/>
      <c r="I91" s="4"/>
      <c r="J91" s="4" t="n">
        <v>19</v>
      </c>
      <c r="K91" s="4"/>
      <c r="L91" s="4"/>
      <c r="M91" s="4"/>
      <c r="N91" s="4"/>
      <c r="O91" s="5" t="n">
        <f aca="false">IF(AND(J91="",K91="",M91=""),"",IF(OR(AND(N(K91)&gt;0,L91=""),AND(N(M91)&gt;0,N91="")),"à compléter",N(J91)+N(K91)*N(L91)+N(M91)*N(N91)))</f>
        <v>19</v>
      </c>
      <c r="P91" s="4"/>
      <c r="Q91" s="6"/>
    </row>
    <row r="92" customFormat="false" ht="15" hidden="false" customHeight="false" outlineLevel="0" collapsed="false">
      <c r="A92" s="4" t="n">
        <v>91</v>
      </c>
      <c r="B92" s="4" t="s">
        <v>36</v>
      </c>
      <c r="C92" s="4" t="s">
        <v>198</v>
      </c>
      <c r="D92" s="4" t="s">
        <v>198</v>
      </c>
      <c r="E92" s="4" t="s">
        <v>38</v>
      </c>
      <c r="F92" s="4" t="n">
        <v>170</v>
      </c>
      <c r="G92" s="4" t="s">
        <v>199</v>
      </c>
      <c r="H92" s="4"/>
      <c r="I92" s="4"/>
      <c r="J92" s="4" t="n">
        <v>25</v>
      </c>
      <c r="K92" s="4"/>
      <c r="L92" s="4"/>
      <c r="M92" s="4"/>
      <c r="N92" s="4"/>
      <c r="O92" s="5" t="n">
        <f aca="false">IF(AND(J92="",K92="",M92=""),"",IF(OR(AND(N(K92)&gt;0,L92=""),AND(N(M92)&gt;0,N92="")),"à compléter",N(J92)+N(K92)*N(L92)+N(M92)*N(N92)))</f>
        <v>25</v>
      </c>
      <c r="P92" s="4"/>
      <c r="Q92" s="6"/>
    </row>
    <row r="93" customFormat="false" ht="15" hidden="false" customHeight="false" outlineLevel="0" collapsed="false">
      <c r="A93" s="4" t="n">
        <v>92</v>
      </c>
      <c r="B93" s="4" t="s">
        <v>36</v>
      </c>
      <c r="C93" s="4" t="s">
        <v>200</v>
      </c>
      <c r="D93" s="4" t="s">
        <v>200</v>
      </c>
      <c r="E93" s="4" t="s">
        <v>38</v>
      </c>
      <c r="F93" s="4" t="n">
        <v>435</v>
      </c>
      <c r="G93" s="4" t="s">
        <v>103</v>
      </c>
      <c r="H93" s="4"/>
      <c r="I93" s="4"/>
      <c r="J93" s="4" t="n">
        <v>12</v>
      </c>
      <c r="K93" s="4"/>
      <c r="L93" s="4"/>
      <c r="M93" s="4"/>
      <c r="N93" s="4"/>
      <c r="O93" s="5" t="n">
        <f aca="false">IF(AND(J93="",K93="",M93=""),"",IF(OR(AND(N(K93)&gt;0,L93=""),AND(N(M93)&gt;0,N93="")),"à compléter",N(J93)+N(K93)*N(L93)+N(M93)*N(N93)))</f>
        <v>12</v>
      </c>
      <c r="P93" s="4"/>
      <c r="Q93" s="6"/>
    </row>
    <row r="94" customFormat="false" ht="15" hidden="false" customHeight="false" outlineLevel="0" collapsed="false">
      <c r="A94" s="4" t="n">
        <v>93</v>
      </c>
      <c r="B94" s="4" t="s">
        <v>36</v>
      </c>
      <c r="C94" s="4" t="s">
        <v>201</v>
      </c>
      <c r="D94" s="4" t="s">
        <v>201</v>
      </c>
      <c r="E94" s="4" t="s">
        <v>38</v>
      </c>
      <c r="F94" s="4" t="n">
        <v>500</v>
      </c>
      <c r="G94" s="4" t="s">
        <v>66</v>
      </c>
      <c r="H94" s="4"/>
      <c r="I94" s="4"/>
      <c r="J94" s="4" t="n">
        <v>7</v>
      </c>
      <c r="K94" s="4"/>
      <c r="L94" s="4"/>
      <c r="M94" s="4"/>
      <c r="N94" s="4"/>
      <c r="O94" s="5" t="n">
        <f aca="false">IF(AND(J94="",K94="",M94=""),"",IF(OR(AND(N(K94)&gt;0,L94=""),AND(N(M94)&gt;0,N94="")),"à compléter",N(J94)+N(K94)*N(L94)+N(M94)*N(N94)))</f>
        <v>7</v>
      </c>
      <c r="P94" s="4"/>
      <c r="Q94" s="6"/>
    </row>
    <row r="95" customFormat="false" ht="15" hidden="false" customHeight="false" outlineLevel="0" collapsed="false">
      <c r="A95" s="4" t="n">
        <v>94</v>
      </c>
      <c r="B95" s="4" t="s">
        <v>36</v>
      </c>
      <c r="C95" s="4" t="s">
        <v>202</v>
      </c>
      <c r="D95" s="4" t="s">
        <v>202</v>
      </c>
      <c r="E95" s="4" t="s">
        <v>38</v>
      </c>
      <c r="F95" s="4" t="n">
        <v>200</v>
      </c>
      <c r="G95" s="4" t="s">
        <v>95</v>
      </c>
      <c r="H95" s="4"/>
      <c r="I95" s="4"/>
      <c r="J95" s="4" t="n">
        <v>20</v>
      </c>
      <c r="K95" s="4"/>
      <c r="L95" s="4"/>
      <c r="M95" s="4"/>
      <c r="N95" s="4"/>
      <c r="O95" s="5" t="n">
        <f aca="false">IF(AND(J95="",K95="",M95=""),"",IF(OR(AND(N(K95)&gt;0,L95=""),AND(N(M95)&gt;0,N95="")),"à compléter",N(J95)+N(K95)*N(L95)+N(M95)*N(N95)))</f>
        <v>20</v>
      </c>
      <c r="P95" s="4"/>
      <c r="Q95" s="6"/>
    </row>
    <row r="96" customFormat="false" ht="26.85" hidden="false" customHeight="false" outlineLevel="0" collapsed="false">
      <c r="A96" s="4" t="n">
        <v>95</v>
      </c>
      <c r="B96" s="4" t="s">
        <v>36</v>
      </c>
      <c r="C96" s="4" t="s">
        <v>203</v>
      </c>
      <c r="D96" s="4" t="s">
        <v>203</v>
      </c>
      <c r="E96" s="4" t="s">
        <v>38</v>
      </c>
      <c r="F96" s="4" t="n">
        <v>135</v>
      </c>
      <c r="G96" s="4" t="s">
        <v>204</v>
      </c>
      <c r="H96" s="4"/>
      <c r="I96" s="4"/>
      <c r="J96" s="4" t="n">
        <v>5</v>
      </c>
      <c r="K96" s="4"/>
      <c r="L96" s="4"/>
      <c r="M96" s="4"/>
      <c r="N96" s="4"/>
      <c r="O96" s="5" t="n">
        <f aca="false">IF(AND(J96="",K96="",M96=""),"",IF(OR(AND(N(K96)&gt;0,L96=""),AND(N(M96)&gt;0,N96="")),"à compléter",N(J96)+N(K96)*N(L96)+N(M96)*N(N96)))</f>
        <v>5</v>
      </c>
      <c r="P96" s="4"/>
      <c r="Q96" s="6"/>
    </row>
    <row r="97" customFormat="false" ht="15" hidden="false" customHeight="false" outlineLevel="0" collapsed="false">
      <c r="A97" s="4" t="n">
        <v>96</v>
      </c>
      <c r="B97" s="4" t="s">
        <v>36</v>
      </c>
      <c r="C97" s="4" t="s">
        <v>205</v>
      </c>
      <c r="D97" s="4" t="s">
        <v>205</v>
      </c>
      <c r="E97" s="4" t="s">
        <v>38</v>
      </c>
      <c r="F97" s="4" t="n">
        <v>1000</v>
      </c>
      <c r="G97" s="4" t="s">
        <v>206</v>
      </c>
      <c r="H97" s="4" t="s">
        <v>207</v>
      </c>
      <c r="I97" s="4"/>
      <c r="J97" s="4" t="n">
        <v>233</v>
      </c>
      <c r="K97" s="4"/>
      <c r="L97" s="4"/>
      <c r="M97" s="4"/>
      <c r="N97" s="4"/>
      <c r="O97" s="5" t="n">
        <f aca="false">IF(AND(J97="",K97="",M97=""),"",IF(OR(AND(N(K97)&gt;0,L97=""),AND(N(M97)&gt;0,N97="")),"à compléter",N(J97)+N(K97)*N(L97)+N(M97)*N(N97)))</f>
        <v>233</v>
      </c>
      <c r="P97" s="4"/>
      <c r="Q97" s="6"/>
    </row>
    <row r="98" customFormat="false" ht="15" hidden="false" customHeight="false" outlineLevel="0" collapsed="false">
      <c r="A98" s="4" t="n">
        <v>97</v>
      </c>
      <c r="B98" s="4" t="s">
        <v>36</v>
      </c>
      <c r="C98" s="4" t="s">
        <v>208</v>
      </c>
      <c r="D98" s="4" t="s">
        <v>208</v>
      </c>
      <c r="E98" s="4" t="s">
        <v>38</v>
      </c>
      <c r="F98" s="4" t="n">
        <v>335</v>
      </c>
      <c r="G98" s="4" t="s">
        <v>209</v>
      </c>
      <c r="H98" s="4"/>
      <c r="I98" s="4"/>
      <c r="J98" s="4" t="n">
        <v>78</v>
      </c>
      <c r="K98" s="4"/>
      <c r="L98" s="4"/>
      <c r="M98" s="4"/>
      <c r="N98" s="4"/>
      <c r="O98" s="5" t="n">
        <f aca="false">IF(AND(J98="",K98="",M98=""),"",IF(OR(AND(N(K98)&gt;0,L98=""),AND(N(M98)&gt;0,N98="")),"à compléter",N(J98)+N(K98)*N(L98)+N(M98)*N(N98)))</f>
        <v>78</v>
      </c>
      <c r="P98" s="4"/>
      <c r="Q98" s="6"/>
    </row>
    <row r="99" customFormat="false" ht="15" hidden="false" customHeight="false" outlineLevel="0" collapsed="false">
      <c r="A99" s="4" t="n">
        <v>98</v>
      </c>
      <c r="B99" s="4" t="s">
        <v>36</v>
      </c>
      <c r="C99" s="4" t="s">
        <v>210</v>
      </c>
      <c r="D99" s="4" t="s">
        <v>210</v>
      </c>
      <c r="E99" s="4" t="s">
        <v>38</v>
      </c>
      <c r="F99" s="4" t="n">
        <v>334</v>
      </c>
      <c r="G99" s="4" t="s">
        <v>86</v>
      </c>
      <c r="H99" s="4"/>
      <c r="I99" s="4"/>
      <c r="J99" s="4" t="n">
        <v>19</v>
      </c>
      <c r="K99" s="4"/>
      <c r="L99" s="4"/>
      <c r="M99" s="4"/>
      <c r="N99" s="4"/>
      <c r="O99" s="5" t="n">
        <f aca="false">IF(AND(J99="",K99="",M99=""),"",IF(OR(AND(N(K99)&gt;0,L99=""),AND(N(M99)&gt;0,N99="")),"à compléter",N(J99)+N(K99)*N(L99)+N(M99)*N(N99)))</f>
        <v>19</v>
      </c>
      <c r="P99" s="4"/>
      <c r="Q99" s="6"/>
    </row>
    <row r="100" customFormat="false" ht="15" hidden="false" customHeight="false" outlineLevel="0" collapsed="false">
      <c r="A100" s="4" t="n">
        <v>99</v>
      </c>
      <c r="B100" s="4" t="s">
        <v>36</v>
      </c>
      <c r="C100" s="4" t="s">
        <v>211</v>
      </c>
      <c r="D100" s="4" t="s">
        <v>211</v>
      </c>
      <c r="E100" s="4" t="s">
        <v>38</v>
      </c>
      <c r="F100" s="4" t="n">
        <v>1000</v>
      </c>
      <c r="G100" s="4" t="s">
        <v>212</v>
      </c>
      <c r="H100" s="4"/>
      <c r="I100" s="4"/>
      <c r="J100" s="4" t="n">
        <v>209</v>
      </c>
      <c r="K100" s="4"/>
      <c r="L100" s="4"/>
      <c r="M100" s="4"/>
      <c r="N100" s="4"/>
      <c r="O100" s="5" t="n">
        <f aca="false">IF(AND(J100="",K100="",M100=""),"",IF(OR(AND(N(K100)&gt;0,L100=""),AND(N(M100)&gt;0,N100="")),"à compléter",N(J100)+N(K100)*N(L100)+N(M100)*N(N100)))</f>
        <v>209</v>
      </c>
      <c r="P100" s="4"/>
      <c r="Q100" s="6"/>
    </row>
    <row r="101" customFormat="false" ht="15" hidden="false" customHeight="false" outlineLevel="0" collapsed="false">
      <c r="A101" s="4" t="n">
        <v>100</v>
      </c>
      <c r="B101" s="4" t="s">
        <v>36</v>
      </c>
      <c r="C101" s="4" t="s">
        <v>213</v>
      </c>
      <c r="D101" s="4" t="s">
        <v>213</v>
      </c>
      <c r="E101" s="4" t="s">
        <v>38</v>
      </c>
      <c r="F101" s="4" t="n">
        <v>434</v>
      </c>
      <c r="G101" s="4" t="s">
        <v>43</v>
      </c>
      <c r="H101" s="4"/>
      <c r="I101" s="4"/>
      <c r="J101" s="4" t="n">
        <v>0</v>
      </c>
      <c r="K101" s="4"/>
      <c r="L101" s="4"/>
      <c r="M101" s="4"/>
      <c r="N101" s="4"/>
      <c r="O101" s="5" t="n">
        <f aca="false">IF(AND(J101="",K101="",M101=""),"",IF(OR(AND(N(K101)&gt;0,L101=""),AND(N(M101)&gt;0,N101="")),"à compléter",N(J101)+N(K101)*N(L101)+N(M101)*N(N101)))</f>
        <v>0</v>
      </c>
      <c r="P101" s="4"/>
      <c r="Q101" s="6"/>
    </row>
    <row r="102" customFormat="false" ht="15" hidden="false" customHeight="false" outlineLevel="0" collapsed="false">
      <c r="A102" s="4" t="n">
        <v>101</v>
      </c>
      <c r="B102" s="4" t="s">
        <v>36</v>
      </c>
      <c r="C102" s="4" t="s">
        <v>214</v>
      </c>
      <c r="D102" s="4" t="s">
        <v>214</v>
      </c>
      <c r="E102" s="4" t="s">
        <v>38</v>
      </c>
      <c r="F102" s="4" t="n">
        <v>1000</v>
      </c>
      <c r="G102" s="4" t="s">
        <v>43</v>
      </c>
      <c r="H102" s="4"/>
      <c r="I102" s="4"/>
      <c r="J102" s="4" t="n">
        <v>0</v>
      </c>
      <c r="K102" s="4"/>
      <c r="L102" s="4"/>
      <c r="M102" s="4"/>
      <c r="N102" s="4"/>
      <c r="O102" s="5" t="n">
        <f aca="false">IF(AND(J102="",K102="",M102=""),"",IF(OR(AND(N(K102)&gt;0,L102=""),AND(N(M102)&gt;0,N102="")),"à compléter",N(J102)+N(K102)*N(L102)+N(M102)*N(N102)))</f>
        <v>0</v>
      </c>
      <c r="P102" s="4"/>
      <c r="Q102" s="6"/>
    </row>
    <row r="103" customFormat="false" ht="15" hidden="false" customHeight="false" outlineLevel="0" collapsed="false">
      <c r="A103" s="4" t="n">
        <v>102</v>
      </c>
      <c r="B103" s="4" t="s">
        <v>36</v>
      </c>
      <c r="C103" s="4" t="s">
        <v>215</v>
      </c>
      <c r="D103" s="4" t="s">
        <v>215</v>
      </c>
      <c r="E103" s="4" t="s">
        <v>38</v>
      </c>
      <c r="F103" s="4" t="n">
        <v>665</v>
      </c>
      <c r="G103" s="4" t="s">
        <v>122</v>
      </c>
      <c r="H103" s="4"/>
      <c r="I103" s="4"/>
      <c r="J103" s="4" t="n">
        <v>6</v>
      </c>
      <c r="K103" s="4"/>
      <c r="L103" s="4"/>
      <c r="M103" s="4"/>
      <c r="N103" s="4"/>
      <c r="O103" s="5" t="n">
        <f aca="false">IF(AND(J103="",K103="",M103=""),"",IF(OR(AND(N(K103)&gt;0,L103=""),AND(N(M103)&gt;0,N103="")),"à compléter",N(J103)+N(K103)*N(L103)+N(M103)*N(N103)))</f>
        <v>6</v>
      </c>
      <c r="P103" s="4"/>
      <c r="Q103" s="6"/>
    </row>
    <row r="104" customFormat="false" ht="15" hidden="false" customHeight="false" outlineLevel="0" collapsed="false">
      <c r="A104" s="4" t="n">
        <v>103</v>
      </c>
      <c r="B104" s="4" t="s">
        <v>36</v>
      </c>
      <c r="C104" s="4" t="s">
        <v>216</v>
      </c>
      <c r="D104" s="4" t="s">
        <v>216</v>
      </c>
      <c r="E104" s="4" t="s">
        <v>38</v>
      </c>
      <c r="F104" s="4" t="n">
        <v>125</v>
      </c>
      <c r="G104" s="4" t="s">
        <v>43</v>
      </c>
      <c r="H104" s="4"/>
      <c r="I104" s="4"/>
      <c r="J104" s="4" t="n">
        <v>0</v>
      </c>
      <c r="K104" s="4"/>
      <c r="L104" s="4"/>
      <c r="M104" s="4"/>
      <c r="N104" s="4"/>
      <c r="O104" s="5" t="n">
        <f aca="false">IF(AND(J104="",K104="",M104=""),"",IF(OR(AND(N(K104)&gt;0,L104=""),AND(N(M104)&gt;0,N104="")),"à compléter",N(J104)+N(K104)*N(L104)+N(M104)*N(N104)))</f>
        <v>0</v>
      </c>
      <c r="P104" s="4"/>
      <c r="Q104" s="6"/>
    </row>
    <row r="105" customFormat="false" ht="15" hidden="false" customHeight="false" outlineLevel="0" collapsed="false">
      <c r="A105" s="4" t="n">
        <v>104</v>
      </c>
      <c r="B105" s="4" t="s">
        <v>36</v>
      </c>
      <c r="C105" s="4" t="s">
        <v>217</v>
      </c>
      <c r="D105" s="4" t="s">
        <v>217</v>
      </c>
      <c r="E105" s="4" t="s">
        <v>38</v>
      </c>
      <c r="F105" s="4" t="n">
        <v>200</v>
      </c>
      <c r="G105" s="4" t="s">
        <v>43</v>
      </c>
      <c r="H105" s="4"/>
      <c r="I105" s="4"/>
      <c r="J105" s="4" t="n">
        <v>0</v>
      </c>
      <c r="K105" s="4"/>
      <c r="L105" s="4"/>
      <c r="M105" s="4"/>
      <c r="N105" s="4"/>
      <c r="O105" s="5" t="n">
        <f aca="false">IF(AND(J105="",K105="",M105=""),"",IF(OR(AND(N(K105)&gt;0,L105=""),AND(N(M105)&gt;0,N105="")),"à compléter",N(J105)+N(K105)*N(L105)+N(M105)*N(N105)))</f>
        <v>0</v>
      </c>
      <c r="P105" s="4"/>
      <c r="Q105" s="6"/>
    </row>
    <row r="106" customFormat="false" ht="15" hidden="false" customHeight="false" outlineLevel="0" collapsed="false">
      <c r="A106" s="4" t="n">
        <v>105</v>
      </c>
      <c r="B106" s="4" t="s">
        <v>36</v>
      </c>
      <c r="C106" s="4" t="s">
        <v>218</v>
      </c>
      <c r="D106" s="4" t="s">
        <v>218</v>
      </c>
      <c r="E106" s="4" t="s">
        <v>38</v>
      </c>
      <c r="F106" s="4" t="n">
        <v>125</v>
      </c>
      <c r="G106" s="4" t="s">
        <v>219</v>
      </c>
      <c r="H106" s="4"/>
      <c r="I106" s="4"/>
      <c r="J106" s="4" t="n">
        <v>42</v>
      </c>
      <c r="K106" s="4"/>
      <c r="L106" s="4"/>
      <c r="M106" s="4"/>
      <c r="N106" s="4"/>
      <c r="O106" s="5" t="n">
        <f aca="false">IF(AND(J106="",K106="",M106=""),"",IF(OR(AND(N(K106)&gt;0,L106=""),AND(N(M106)&gt;0,N106="")),"à compléter",N(J106)+N(K106)*N(L106)+N(M106)*N(N106)))</f>
        <v>42</v>
      </c>
      <c r="P106" s="4"/>
      <c r="Q106" s="6"/>
    </row>
    <row r="107" customFormat="false" ht="15" hidden="false" customHeight="false" outlineLevel="0" collapsed="false">
      <c r="A107" s="4" t="n">
        <v>106</v>
      </c>
      <c r="B107" s="4" t="s">
        <v>36</v>
      </c>
      <c r="C107" s="4" t="s">
        <v>220</v>
      </c>
      <c r="D107" s="4" t="s">
        <v>220</v>
      </c>
      <c r="E107" s="4" t="s">
        <v>38</v>
      </c>
      <c r="F107" s="4" t="n">
        <v>1500</v>
      </c>
      <c r="G107" s="4" t="s">
        <v>136</v>
      </c>
      <c r="H107" s="4"/>
      <c r="I107" s="4"/>
      <c r="J107" s="4" t="n">
        <v>3</v>
      </c>
      <c r="K107" s="4"/>
      <c r="L107" s="4"/>
      <c r="M107" s="4"/>
      <c r="N107" s="4"/>
      <c r="O107" s="5" t="n">
        <f aca="false">IF(AND(J107="",K107="",M107=""),"",IF(OR(AND(N(K107)&gt;0,L107=""),AND(N(M107)&gt;0,N107="")),"à compléter",N(J107)+N(K107)*N(L107)+N(M107)*N(N107)))</f>
        <v>3</v>
      </c>
      <c r="P107" s="4"/>
      <c r="Q107" s="6"/>
    </row>
    <row r="108" customFormat="false" ht="15" hidden="false" customHeight="false" outlineLevel="0" collapsed="false">
      <c r="A108" s="4" t="n">
        <v>107</v>
      </c>
      <c r="B108" s="4" t="s">
        <v>36</v>
      </c>
      <c r="C108" s="4" t="s">
        <v>221</v>
      </c>
      <c r="D108" s="4" t="s">
        <v>221</v>
      </c>
      <c r="E108" s="4" t="s">
        <v>38</v>
      </c>
      <c r="F108" s="4" t="n">
        <v>1000</v>
      </c>
      <c r="G108" s="4" t="s">
        <v>129</v>
      </c>
      <c r="H108" s="4" t="s">
        <v>156</v>
      </c>
      <c r="I108" s="4"/>
      <c r="J108" s="4" t="n">
        <v>12</v>
      </c>
      <c r="K108" s="4"/>
      <c r="L108" s="4"/>
      <c r="M108" s="4"/>
      <c r="N108" s="4"/>
      <c r="O108" s="5" t="n">
        <f aca="false">IF(AND(J108="",K108="",M108=""),"",IF(OR(AND(N(K108)&gt;0,L108=""),AND(N(M108)&gt;0,N108="")),"à compléter",N(J108)+N(K108)*N(L108)+N(M108)*N(N108)))</f>
        <v>12</v>
      </c>
      <c r="P108" s="4"/>
      <c r="Q108" s="6"/>
    </row>
    <row r="109" customFormat="false" ht="15" hidden="false" customHeight="false" outlineLevel="0" collapsed="false">
      <c r="A109" s="4" t="n">
        <v>108</v>
      </c>
      <c r="B109" s="4" t="s">
        <v>36</v>
      </c>
      <c r="C109" s="4" t="s">
        <v>222</v>
      </c>
      <c r="D109" s="4" t="s">
        <v>222</v>
      </c>
      <c r="E109" s="4" t="s">
        <v>38</v>
      </c>
      <c r="F109" s="4" t="n">
        <v>1000</v>
      </c>
      <c r="G109" s="4" t="s">
        <v>68</v>
      </c>
      <c r="H109" s="4"/>
      <c r="I109" s="4"/>
      <c r="J109" s="4" t="n">
        <v>4</v>
      </c>
      <c r="K109" s="4"/>
      <c r="L109" s="4"/>
      <c r="M109" s="4"/>
      <c r="N109" s="4"/>
      <c r="O109" s="5" t="n">
        <f aca="false">IF(AND(J109="",K109="",M109=""),"",IF(OR(AND(N(K109)&gt;0,L109=""),AND(N(M109)&gt;0,N109="")),"à compléter",N(J109)+N(K109)*N(L109)+N(M109)*N(N109)))</f>
        <v>4</v>
      </c>
      <c r="P109" s="4"/>
      <c r="Q109" s="6"/>
    </row>
    <row r="110" customFormat="false" ht="15" hidden="false" customHeight="false" outlineLevel="0" collapsed="false">
      <c r="A110" s="4" t="n">
        <v>109</v>
      </c>
      <c r="B110" s="4" t="s">
        <v>36</v>
      </c>
      <c r="C110" s="4" t="s">
        <v>223</v>
      </c>
      <c r="D110" s="4" t="s">
        <v>223</v>
      </c>
      <c r="E110" s="4" t="s">
        <v>38</v>
      </c>
      <c r="F110" s="4" t="n">
        <v>1000</v>
      </c>
      <c r="G110" s="4" t="s">
        <v>81</v>
      </c>
      <c r="H110" s="4"/>
      <c r="I110" s="4"/>
      <c r="J110" s="4" t="n">
        <v>14</v>
      </c>
      <c r="K110" s="4"/>
      <c r="L110" s="4"/>
      <c r="M110" s="4"/>
      <c r="N110" s="4"/>
      <c r="O110" s="5" t="n">
        <f aca="false">IF(AND(J110="",K110="",M110=""),"",IF(OR(AND(N(K110)&gt;0,L110=""),AND(N(M110)&gt;0,N110="")),"à compléter",N(J110)+N(K110)*N(L110)+N(M110)*N(N110)))</f>
        <v>14</v>
      </c>
      <c r="P110" s="4"/>
      <c r="Q110" s="6"/>
    </row>
    <row r="111" customFormat="false" ht="15" hidden="false" customHeight="false" outlineLevel="0" collapsed="false">
      <c r="A111" s="4" t="n">
        <v>110</v>
      </c>
      <c r="B111" s="4" t="s">
        <v>36</v>
      </c>
      <c r="C111" s="4" t="s">
        <v>224</v>
      </c>
      <c r="D111" s="4" t="s">
        <v>224</v>
      </c>
      <c r="E111" s="4" t="s">
        <v>38</v>
      </c>
      <c r="F111" s="4" t="n">
        <v>1000</v>
      </c>
      <c r="G111" s="4" t="s">
        <v>122</v>
      </c>
      <c r="H111" s="4"/>
      <c r="I111" s="4"/>
      <c r="J111" s="4" t="n">
        <v>6</v>
      </c>
      <c r="K111" s="4"/>
      <c r="L111" s="4"/>
      <c r="M111" s="4"/>
      <c r="N111" s="4"/>
      <c r="O111" s="5" t="n">
        <f aca="false">IF(AND(J111="",K111="",M111=""),"",IF(OR(AND(N(K111)&gt;0,L111=""),AND(N(M111)&gt;0,N111="")),"à compléter",N(J111)+N(K111)*N(L111)+N(M111)*N(N111)))</f>
        <v>6</v>
      </c>
      <c r="P111" s="4"/>
      <c r="Q111" s="6"/>
    </row>
    <row r="112" customFormat="false" ht="15" hidden="false" customHeight="false" outlineLevel="0" collapsed="false">
      <c r="A112" s="4" t="n">
        <v>111</v>
      </c>
      <c r="B112" s="4" t="s">
        <v>36</v>
      </c>
      <c r="C112" s="4" t="s">
        <v>225</v>
      </c>
      <c r="D112" s="4" t="s">
        <v>225</v>
      </c>
      <c r="E112" s="4" t="s">
        <v>38</v>
      </c>
      <c r="F112" s="4" t="n">
        <v>1200</v>
      </c>
      <c r="G112" s="4" t="s">
        <v>103</v>
      </c>
      <c r="H112" s="4"/>
      <c r="I112" s="4"/>
      <c r="J112" s="4" t="n">
        <v>12</v>
      </c>
      <c r="K112" s="4"/>
      <c r="L112" s="4"/>
      <c r="M112" s="4"/>
      <c r="N112" s="4"/>
      <c r="O112" s="5" t="n">
        <f aca="false">IF(AND(J112="",K112="",M112=""),"",IF(OR(AND(N(K112)&gt;0,L112=""),AND(N(M112)&gt;0,N112="")),"à compléter",N(J112)+N(K112)*N(L112)+N(M112)*N(N112)))</f>
        <v>12</v>
      </c>
      <c r="P112" s="4"/>
      <c r="Q112" s="6"/>
    </row>
    <row r="113" customFormat="false" ht="15" hidden="false" customHeight="false" outlineLevel="0" collapsed="false">
      <c r="A113" s="4" t="n">
        <v>112</v>
      </c>
      <c r="B113" s="4" t="s">
        <v>36</v>
      </c>
      <c r="C113" s="4" t="s">
        <v>226</v>
      </c>
      <c r="D113" s="4" t="s">
        <v>226</v>
      </c>
      <c r="E113" s="4" t="s">
        <v>38</v>
      </c>
      <c r="F113" s="4" t="n">
        <v>1000</v>
      </c>
      <c r="G113" s="4" t="s">
        <v>103</v>
      </c>
      <c r="H113" s="4"/>
      <c r="I113" s="4"/>
      <c r="J113" s="4" t="n">
        <v>12</v>
      </c>
      <c r="K113" s="4"/>
      <c r="L113" s="4"/>
      <c r="M113" s="4"/>
      <c r="N113" s="4"/>
      <c r="O113" s="5" t="n">
        <f aca="false">IF(AND(J113="",K113="",M113=""),"",IF(OR(AND(N(K113)&gt;0,L113=""),AND(N(M113)&gt;0,N113="")),"à compléter",N(J113)+N(K113)*N(L113)+N(M113)*N(N113)))</f>
        <v>12</v>
      </c>
      <c r="P113" s="4"/>
      <c r="Q113" s="6"/>
    </row>
    <row r="114" customFormat="false" ht="15" hidden="false" customHeight="false" outlineLevel="0" collapsed="false">
      <c r="A114" s="4" t="n">
        <v>113</v>
      </c>
      <c r="B114" s="4" t="s">
        <v>36</v>
      </c>
      <c r="C114" s="4" t="s">
        <v>227</v>
      </c>
      <c r="D114" s="4" t="s">
        <v>227</v>
      </c>
      <c r="E114" s="4" t="s">
        <v>38</v>
      </c>
      <c r="F114" s="4" t="n">
        <v>800</v>
      </c>
      <c r="G114" s="4" t="s">
        <v>156</v>
      </c>
      <c r="H114" s="4"/>
      <c r="I114" s="4"/>
      <c r="J114" s="4" t="n">
        <v>10</v>
      </c>
      <c r="K114" s="4"/>
      <c r="L114" s="4"/>
      <c r="M114" s="4"/>
      <c r="N114" s="4"/>
      <c r="O114" s="5" t="n">
        <f aca="false">IF(AND(J114="",K114="",M114=""),"",IF(OR(AND(N(K114)&gt;0,L114=""),AND(N(M114)&gt;0,N114="")),"à compléter",N(J114)+N(K114)*N(L114)+N(M114)*N(N114)))</f>
        <v>10</v>
      </c>
      <c r="P114" s="4"/>
      <c r="Q114" s="6"/>
    </row>
    <row r="115" customFormat="false" ht="15" hidden="false" customHeight="false" outlineLevel="0" collapsed="false">
      <c r="A115" s="4" t="n">
        <v>114</v>
      </c>
      <c r="B115" s="4" t="s">
        <v>36</v>
      </c>
      <c r="C115" s="4" t="s">
        <v>228</v>
      </c>
      <c r="D115" s="4" t="s">
        <v>228</v>
      </c>
      <c r="E115" s="4" t="s">
        <v>38</v>
      </c>
      <c r="F115" s="4" t="n">
        <v>1600</v>
      </c>
      <c r="G115" s="4" t="s">
        <v>95</v>
      </c>
      <c r="H115" s="4"/>
      <c r="I115" s="4"/>
      <c r="J115" s="4" t="n">
        <v>20</v>
      </c>
      <c r="K115" s="4"/>
      <c r="L115" s="4"/>
      <c r="M115" s="4"/>
      <c r="N115" s="4"/>
      <c r="O115" s="5" t="n">
        <f aca="false">IF(AND(J115="",K115="",M115=""),"",IF(OR(AND(N(K115)&gt;0,L115=""),AND(N(M115)&gt;0,N115="")),"à compléter",N(J115)+N(K115)*N(L115)+N(M115)*N(N115)))</f>
        <v>20</v>
      </c>
      <c r="P115" s="4"/>
      <c r="Q115" s="6"/>
    </row>
    <row r="116" customFormat="false" ht="15" hidden="false" customHeight="false" outlineLevel="0" collapsed="false">
      <c r="A116" s="4" t="n">
        <v>115</v>
      </c>
      <c r="B116" s="4" t="s">
        <v>36</v>
      </c>
      <c r="C116" s="4" t="s">
        <v>229</v>
      </c>
      <c r="D116" s="4" t="s">
        <v>229</v>
      </c>
      <c r="E116" s="4" t="s">
        <v>38</v>
      </c>
      <c r="F116" s="4" t="n">
        <v>800</v>
      </c>
      <c r="G116" s="4" t="s">
        <v>230</v>
      </c>
      <c r="H116" s="4"/>
      <c r="I116" s="4"/>
      <c r="J116" s="4" t="n">
        <v>22</v>
      </c>
      <c r="K116" s="4"/>
      <c r="L116" s="4"/>
      <c r="M116" s="4"/>
      <c r="N116" s="4"/>
      <c r="O116" s="5" t="n">
        <f aca="false">IF(AND(J116="",K116="",M116=""),"",IF(OR(AND(N(K116)&gt;0,L116=""),AND(N(M116)&gt;0,N116="")),"à compléter",N(J116)+N(K116)*N(L116)+N(M116)*N(N116)))</f>
        <v>22</v>
      </c>
      <c r="P116" s="4"/>
      <c r="Q116" s="6"/>
    </row>
    <row r="117" customFormat="false" ht="15" hidden="false" customHeight="false" outlineLevel="0" collapsed="false">
      <c r="A117" s="4" t="n">
        <v>116</v>
      </c>
      <c r="B117" s="4" t="s">
        <v>36</v>
      </c>
      <c r="C117" s="4" t="s">
        <v>231</v>
      </c>
      <c r="D117" s="4" t="s">
        <v>231</v>
      </c>
      <c r="E117" s="4" t="s">
        <v>38</v>
      </c>
      <c r="F117" s="4" t="n">
        <v>1600</v>
      </c>
      <c r="G117" s="4" t="s">
        <v>81</v>
      </c>
      <c r="H117" s="4"/>
      <c r="I117" s="4"/>
      <c r="J117" s="4" t="n">
        <v>14</v>
      </c>
      <c r="K117" s="4"/>
      <c r="L117" s="4"/>
      <c r="M117" s="4"/>
      <c r="N117" s="4"/>
      <c r="O117" s="5" t="n">
        <f aca="false">IF(AND(J117="",K117="",M117=""),"",IF(OR(AND(N(K117)&gt;0,L117=""),AND(N(M117)&gt;0,N117="")),"à compléter",N(J117)+N(K117)*N(L117)+N(M117)*N(N117)))</f>
        <v>14</v>
      </c>
      <c r="P117" s="4"/>
      <c r="Q117" s="6"/>
    </row>
    <row r="118" customFormat="false" ht="15" hidden="false" customHeight="false" outlineLevel="0" collapsed="false">
      <c r="A118" s="4" t="n">
        <v>117</v>
      </c>
      <c r="B118" s="4" t="s">
        <v>36</v>
      </c>
      <c r="C118" s="4" t="s">
        <v>232</v>
      </c>
      <c r="D118" s="4" t="s">
        <v>232</v>
      </c>
      <c r="E118" s="4" t="s">
        <v>38</v>
      </c>
      <c r="F118" s="4" t="n">
        <v>800</v>
      </c>
      <c r="G118" s="4" t="s">
        <v>83</v>
      </c>
      <c r="H118" s="4"/>
      <c r="I118" s="4"/>
      <c r="J118" s="4" t="n">
        <v>24</v>
      </c>
      <c r="K118" s="4"/>
      <c r="L118" s="4"/>
      <c r="M118" s="4"/>
      <c r="N118" s="4"/>
      <c r="O118" s="5" t="n">
        <f aca="false">IF(AND(J118="",K118="",M118=""),"",IF(OR(AND(N(K118)&gt;0,L118=""),AND(N(M118)&gt;0,N118="")),"à compléter",N(J118)+N(K118)*N(L118)+N(M118)*N(N118)))</f>
        <v>24</v>
      </c>
      <c r="P118" s="4"/>
      <c r="Q118" s="6"/>
    </row>
    <row r="119" customFormat="false" ht="15" hidden="false" customHeight="false" outlineLevel="0" collapsed="false">
      <c r="A119" s="4" t="n">
        <v>118</v>
      </c>
      <c r="B119" s="4" t="s">
        <v>36</v>
      </c>
      <c r="C119" s="4" t="s">
        <v>233</v>
      </c>
      <c r="D119" s="4" t="s">
        <v>233</v>
      </c>
      <c r="E119" s="4" t="s">
        <v>38</v>
      </c>
      <c r="F119" s="4" t="n">
        <v>1800</v>
      </c>
      <c r="G119" s="4" t="s">
        <v>153</v>
      </c>
      <c r="H119" s="4"/>
      <c r="I119" s="4"/>
      <c r="J119" s="4" t="n">
        <v>9</v>
      </c>
      <c r="K119" s="4"/>
      <c r="L119" s="4"/>
      <c r="M119" s="4"/>
      <c r="N119" s="4"/>
      <c r="O119" s="5" t="n">
        <f aca="false">IF(AND(J119="",K119="",M119=""),"",IF(OR(AND(N(K119)&gt;0,L119=""),AND(N(M119)&gt;0,N119="")),"à compléter",N(J119)+N(K119)*N(L119)+N(M119)*N(N119)))</f>
        <v>9</v>
      </c>
      <c r="P119" s="4"/>
      <c r="Q119" s="6"/>
    </row>
    <row r="120" customFormat="false" ht="26.85" hidden="false" customHeight="false" outlineLevel="0" collapsed="false">
      <c r="A120" s="4" t="n">
        <v>119</v>
      </c>
      <c r="B120" s="7" t="s">
        <v>59</v>
      </c>
      <c r="C120" s="4" t="s">
        <v>234</v>
      </c>
      <c r="D120" s="7" t="s">
        <v>235</v>
      </c>
      <c r="E120" s="4" t="s">
        <v>38</v>
      </c>
      <c r="F120" s="4" t="n">
        <v>1600</v>
      </c>
      <c r="G120" s="4" t="s">
        <v>43</v>
      </c>
      <c r="H120" s="4" t="s">
        <v>83</v>
      </c>
      <c r="I120" s="4"/>
      <c r="J120" s="4" t="n">
        <v>24</v>
      </c>
      <c r="K120" s="4"/>
      <c r="L120" s="4"/>
      <c r="M120" s="4"/>
      <c r="N120" s="4"/>
      <c r="O120" s="5" t="n">
        <f aca="false">IF(AND(J120="",K120="",M120=""),"",IF(OR(AND(N(K120)&gt;0,L120=""),AND(N(M120)&gt;0,N120="")),"à compléter",N(J120)+N(K120)*N(L120)+N(M120)*N(N120)))</f>
        <v>24</v>
      </c>
      <c r="P120" s="4"/>
      <c r="Q120" s="6"/>
    </row>
    <row r="121" customFormat="false" ht="15" hidden="false" customHeight="false" outlineLevel="0" collapsed="false">
      <c r="A121" s="4" t="n">
        <v>120</v>
      </c>
      <c r="B121" s="4" t="s">
        <v>36</v>
      </c>
      <c r="C121" s="4" t="s">
        <v>236</v>
      </c>
      <c r="D121" s="4" t="s">
        <v>236</v>
      </c>
      <c r="E121" s="4" t="s">
        <v>38</v>
      </c>
      <c r="F121" s="4" t="n">
        <v>1500</v>
      </c>
      <c r="G121" s="4" t="s">
        <v>129</v>
      </c>
      <c r="H121" s="4"/>
      <c r="I121" s="4"/>
      <c r="J121" s="4" t="n">
        <v>2</v>
      </c>
      <c r="K121" s="4"/>
      <c r="L121" s="4"/>
      <c r="M121" s="4"/>
      <c r="N121" s="4"/>
      <c r="O121" s="5" t="n">
        <f aca="false">IF(AND(J121="",K121="",M121=""),"",IF(OR(AND(N(K121)&gt;0,L121=""),AND(N(M121)&gt;0,N121="")),"à compléter",N(J121)+N(K121)*N(L121)+N(M121)*N(N121)))</f>
        <v>2</v>
      </c>
      <c r="P121" s="4"/>
      <c r="Q121" s="6"/>
    </row>
    <row r="122" customFormat="false" ht="15" hidden="false" customHeight="false" outlineLevel="0" collapsed="false">
      <c r="A122" s="4" t="n">
        <v>121</v>
      </c>
      <c r="B122" s="4" t="s">
        <v>36</v>
      </c>
      <c r="C122" s="4" t="s">
        <v>237</v>
      </c>
      <c r="D122" s="4" t="s">
        <v>237</v>
      </c>
      <c r="E122" s="4" t="s">
        <v>38</v>
      </c>
      <c r="F122" s="4" t="n">
        <v>165</v>
      </c>
      <c r="G122" s="4" t="s">
        <v>66</v>
      </c>
      <c r="H122" s="4" t="s">
        <v>103</v>
      </c>
      <c r="I122" s="4"/>
      <c r="J122" s="4" t="n">
        <v>19</v>
      </c>
      <c r="K122" s="4"/>
      <c r="L122" s="4"/>
      <c r="M122" s="4"/>
      <c r="N122" s="4"/>
      <c r="O122" s="5" t="n">
        <f aca="false">IF(AND(J122="",K122="",M122=""),"",IF(OR(AND(N(K122)&gt;0,L122=""),AND(N(M122)&gt;0,N122="")),"à compléter",N(J122)+N(K122)*N(L122)+N(M122)*N(N122)))</f>
        <v>19</v>
      </c>
      <c r="P122" s="4"/>
      <c r="Q122" s="6"/>
    </row>
    <row r="123" customFormat="false" ht="15" hidden="false" customHeight="false" outlineLevel="0" collapsed="false">
      <c r="A123" s="4" t="n">
        <v>122</v>
      </c>
      <c r="B123" s="4" t="s">
        <v>36</v>
      </c>
      <c r="C123" s="4" t="s">
        <v>238</v>
      </c>
      <c r="D123" s="4" t="s">
        <v>238</v>
      </c>
      <c r="E123" s="4" t="s">
        <v>38</v>
      </c>
      <c r="F123" s="4" t="n">
        <v>50</v>
      </c>
      <c r="G123" s="4" t="s">
        <v>239</v>
      </c>
      <c r="H123" s="4"/>
      <c r="I123" s="4"/>
      <c r="J123" s="4" t="n">
        <v>79</v>
      </c>
      <c r="K123" s="4"/>
      <c r="L123" s="4"/>
      <c r="M123" s="4"/>
      <c r="N123" s="4"/>
      <c r="O123" s="5" t="n">
        <f aca="false">IF(AND(J123="",K123="",M123=""),"",IF(OR(AND(N(K123)&gt;0,L123=""),AND(N(M123)&gt;0,N123="")),"à compléter",N(J123)+N(K123)*N(L123)+N(M123)*N(N123)))</f>
        <v>79</v>
      </c>
      <c r="P123" s="4"/>
      <c r="Q123" s="6"/>
    </row>
    <row r="124" customFormat="false" ht="15" hidden="false" customHeight="false" outlineLevel="0" collapsed="false">
      <c r="A124" s="4" t="n">
        <v>123</v>
      </c>
      <c r="B124" s="4" t="s">
        <v>36</v>
      </c>
      <c r="C124" s="4" t="s">
        <v>240</v>
      </c>
      <c r="D124" s="4" t="s">
        <v>240</v>
      </c>
      <c r="E124" s="4" t="s">
        <v>38</v>
      </c>
      <c r="F124" s="4" t="n">
        <v>85</v>
      </c>
      <c r="G124" s="4" t="s">
        <v>241</v>
      </c>
      <c r="H124" s="4"/>
      <c r="I124" s="4"/>
      <c r="J124" s="4" t="n">
        <v>51</v>
      </c>
      <c r="K124" s="4"/>
      <c r="L124" s="4"/>
      <c r="M124" s="4"/>
      <c r="N124" s="4"/>
      <c r="O124" s="5" t="n">
        <f aca="false">IF(AND(J124="",K124="",M124=""),"",IF(OR(AND(N(K124)&gt;0,L124=""),AND(N(M124)&gt;0,N124="")),"à compléter",N(J124)+N(K124)*N(L124)+N(M124)*N(N124)))</f>
        <v>51</v>
      </c>
      <c r="P124" s="4" t="s">
        <v>242</v>
      </c>
      <c r="Q124" s="6"/>
    </row>
    <row r="125" customFormat="false" ht="15" hidden="false" customHeight="false" outlineLevel="0" collapsed="false">
      <c r="A125" s="4" t="n">
        <v>124</v>
      </c>
      <c r="B125" s="4" t="s">
        <v>36</v>
      </c>
      <c r="C125" s="4" t="s">
        <v>243</v>
      </c>
      <c r="D125" s="4" t="s">
        <v>243</v>
      </c>
      <c r="E125" s="4" t="s">
        <v>38</v>
      </c>
      <c r="F125" s="4" t="n">
        <v>250</v>
      </c>
      <c r="G125" s="4" t="s">
        <v>129</v>
      </c>
      <c r="H125" s="4"/>
      <c r="I125" s="4"/>
      <c r="J125" s="4" t="n">
        <v>2</v>
      </c>
      <c r="K125" s="4"/>
      <c r="L125" s="4"/>
      <c r="M125" s="4"/>
      <c r="N125" s="4"/>
      <c r="O125" s="5" t="n">
        <f aca="false">IF(AND(J125="",K125="",M125=""),"",IF(OR(AND(N(K125)&gt;0,L125=""),AND(N(M125)&gt;0,N125="")),"à compléter",N(J125)+N(K125)*N(L125)+N(M125)*N(N125)))</f>
        <v>2</v>
      </c>
      <c r="P125" s="4"/>
      <c r="Q125" s="6"/>
    </row>
    <row r="126" customFormat="false" ht="15" hidden="false" customHeight="false" outlineLevel="0" collapsed="false">
      <c r="A126" s="4" t="n">
        <v>125</v>
      </c>
      <c r="B126" s="4" t="s">
        <v>36</v>
      </c>
      <c r="C126" s="4" t="s">
        <v>244</v>
      </c>
      <c r="D126" s="4" t="s">
        <v>244</v>
      </c>
      <c r="E126" s="4" t="s">
        <v>38</v>
      </c>
      <c r="F126" s="4" t="n">
        <v>1300</v>
      </c>
      <c r="G126" s="4" t="s">
        <v>129</v>
      </c>
      <c r="H126" s="4"/>
      <c r="I126" s="4"/>
      <c r="J126" s="4" t="n">
        <v>2</v>
      </c>
      <c r="K126" s="4"/>
      <c r="L126" s="4"/>
      <c r="M126" s="4"/>
      <c r="N126" s="4"/>
      <c r="O126" s="5" t="n">
        <f aca="false">IF(AND(J126="",K126="",M126=""),"",IF(OR(AND(N(K126)&gt;0,L126=""),AND(N(M126)&gt;0,N126="")),"à compléter",N(J126)+N(K126)*N(L126)+N(M126)*N(N126)))</f>
        <v>2</v>
      </c>
      <c r="P126" s="4"/>
      <c r="Q126" s="6"/>
    </row>
    <row r="127" customFormat="false" ht="15" hidden="false" customHeight="false" outlineLevel="0" collapsed="false">
      <c r="A127" s="4" t="n">
        <v>126</v>
      </c>
      <c r="B127" s="4" t="s">
        <v>36</v>
      </c>
      <c r="C127" s="4" t="s">
        <v>245</v>
      </c>
      <c r="D127" s="4" t="s">
        <v>245</v>
      </c>
      <c r="E127" s="4" t="s">
        <v>38</v>
      </c>
      <c r="F127" s="4" t="n">
        <v>900</v>
      </c>
      <c r="G127" s="4" t="s">
        <v>68</v>
      </c>
      <c r="H127" s="4"/>
      <c r="I127" s="4"/>
      <c r="J127" s="4" t="n">
        <v>4</v>
      </c>
      <c r="K127" s="4"/>
      <c r="L127" s="4"/>
      <c r="M127" s="4"/>
      <c r="N127" s="4"/>
      <c r="O127" s="5" t="n">
        <f aca="false">IF(AND(J127="",K127="",M127=""),"",IF(OR(AND(N(K127)&gt;0,L127=""),AND(N(M127)&gt;0,N127="")),"à compléter",N(J127)+N(K127)*N(L127)+N(M127)*N(N127)))</f>
        <v>4</v>
      </c>
      <c r="P127" s="4"/>
      <c r="Q127" s="6"/>
    </row>
    <row r="128" customFormat="false" ht="15" hidden="false" customHeight="false" outlineLevel="0" collapsed="false">
      <c r="A128" s="4" t="n">
        <v>127</v>
      </c>
      <c r="B128" s="4" t="s">
        <v>36</v>
      </c>
      <c r="C128" s="4" t="s">
        <v>246</v>
      </c>
      <c r="D128" s="4" t="s">
        <v>246</v>
      </c>
      <c r="E128" s="4" t="s">
        <v>38</v>
      </c>
      <c r="F128" s="4" t="n">
        <v>2000</v>
      </c>
      <c r="G128" s="4" t="s">
        <v>43</v>
      </c>
      <c r="H128" s="4"/>
      <c r="I128" s="4"/>
      <c r="J128" s="4" t="n">
        <v>0</v>
      </c>
      <c r="K128" s="4"/>
      <c r="L128" s="4"/>
      <c r="M128" s="4"/>
      <c r="N128" s="4"/>
      <c r="O128" s="5" t="n">
        <f aca="false">IF(AND(J128="",K128="",M128=""),"",IF(OR(AND(N(K128)&gt;0,L128=""),AND(N(M128)&gt;0,N128="")),"à compléter",N(J128)+N(K128)*N(L128)+N(M128)*N(N128)))</f>
        <v>0</v>
      </c>
      <c r="P128" s="4"/>
      <c r="Q128" s="6"/>
    </row>
    <row r="129" customFormat="false" ht="15" hidden="false" customHeight="false" outlineLevel="0" collapsed="false">
      <c r="A129" s="4" t="n">
        <v>128</v>
      </c>
      <c r="B129" s="4" t="s">
        <v>36</v>
      </c>
      <c r="C129" s="4" t="s">
        <v>247</v>
      </c>
      <c r="D129" s="4" t="s">
        <v>247</v>
      </c>
      <c r="E129" s="4" t="s">
        <v>38</v>
      </c>
      <c r="F129" s="4" t="n">
        <v>3000</v>
      </c>
      <c r="G129" s="4" t="s">
        <v>116</v>
      </c>
      <c r="H129" s="4"/>
      <c r="I129" s="4"/>
      <c r="J129" s="4" t="n">
        <v>1</v>
      </c>
      <c r="K129" s="4"/>
      <c r="L129" s="4"/>
      <c r="M129" s="4"/>
      <c r="N129" s="4"/>
      <c r="O129" s="5" t="n">
        <f aca="false">IF(AND(J129="",K129="",M129=""),"",IF(OR(AND(N(K129)&gt;0,L129=""),AND(N(M129)&gt;0,N129="")),"à compléter",N(J129)+N(K129)*N(L129)+N(M129)*N(N129)))</f>
        <v>1</v>
      </c>
      <c r="P129" s="4"/>
      <c r="Q129" s="6"/>
    </row>
    <row r="130" customFormat="false" ht="15" hidden="false" customHeight="false" outlineLevel="0" collapsed="false">
      <c r="A130" s="4" t="n">
        <v>129</v>
      </c>
      <c r="B130" s="4" t="s">
        <v>36</v>
      </c>
      <c r="C130" s="4" t="s">
        <v>248</v>
      </c>
      <c r="D130" s="4" t="s">
        <v>248</v>
      </c>
      <c r="E130" s="4" t="s">
        <v>38</v>
      </c>
      <c r="F130" s="4" t="n">
        <v>3000</v>
      </c>
      <c r="G130" s="4" t="s">
        <v>116</v>
      </c>
      <c r="H130" s="4"/>
      <c r="I130" s="4"/>
      <c r="J130" s="4" t="n">
        <v>1</v>
      </c>
      <c r="K130" s="4"/>
      <c r="L130" s="4"/>
      <c r="M130" s="4"/>
      <c r="N130" s="4"/>
      <c r="O130" s="5" t="n">
        <f aca="false">IF(AND(J130="",K130="",M130=""),"",IF(OR(AND(N(K130)&gt;0,L130=""),AND(N(M130)&gt;0,N130="")),"à compléter",N(J130)+N(K130)*N(L130)+N(M130)*N(N130)))</f>
        <v>1</v>
      </c>
      <c r="P130" s="4"/>
      <c r="Q130" s="6"/>
    </row>
    <row r="131" customFormat="false" ht="15" hidden="false" customHeight="false" outlineLevel="0" collapsed="false">
      <c r="A131" s="4" t="n">
        <v>130</v>
      </c>
      <c r="B131" s="4" t="s">
        <v>36</v>
      </c>
      <c r="C131" s="4" t="s">
        <v>249</v>
      </c>
      <c r="D131" s="4" t="s">
        <v>249</v>
      </c>
      <c r="E131" s="4" t="s">
        <v>38</v>
      </c>
      <c r="F131" s="4" t="n">
        <v>1000</v>
      </c>
      <c r="G131" s="4" t="s">
        <v>175</v>
      </c>
      <c r="H131" s="4" t="s">
        <v>103</v>
      </c>
      <c r="I131" s="4"/>
      <c r="J131" s="4" t="n">
        <v>12</v>
      </c>
      <c r="K131" s="4"/>
      <c r="L131" s="4"/>
      <c r="M131" s="4"/>
      <c r="N131" s="4"/>
      <c r="O131" s="5" t="n">
        <f aca="false">IF(AND(J131="",K131="",M131=""),"",IF(OR(AND(N(K131)&gt;0,L131=""),AND(N(M131)&gt;0,N131="")),"à compléter",N(J131)+N(K131)*N(L131)+N(M131)*N(N131)))</f>
        <v>12</v>
      </c>
      <c r="P131" s="4"/>
      <c r="Q131" s="6"/>
    </row>
    <row r="132" customFormat="false" ht="15" hidden="false" customHeight="false" outlineLevel="0" collapsed="false">
      <c r="A132" s="4" t="n">
        <v>131</v>
      </c>
      <c r="B132" s="4" t="s">
        <v>36</v>
      </c>
      <c r="C132" s="4" t="s">
        <v>250</v>
      </c>
      <c r="D132" s="4" t="s">
        <v>250</v>
      </c>
      <c r="E132" s="4" t="s">
        <v>38</v>
      </c>
      <c r="F132" s="4" t="n">
        <v>500</v>
      </c>
      <c r="G132" s="4" t="s">
        <v>91</v>
      </c>
      <c r="H132" s="4"/>
      <c r="I132" s="4"/>
      <c r="J132" s="4" t="n">
        <v>60</v>
      </c>
      <c r="K132" s="4"/>
      <c r="L132" s="4"/>
      <c r="M132" s="4"/>
      <c r="N132" s="4"/>
      <c r="O132" s="5" t="n">
        <f aca="false">IF(AND(J132="",K132="",M132=""),"",IF(OR(AND(N(K132)&gt;0,L132=""),AND(N(M132)&gt;0,N132="")),"à compléter",N(J132)+N(K132)*N(L132)+N(M132)*N(N132)))</f>
        <v>60</v>
      </c>
      <c r="P132" s="4" t="s">
        <v>251</v>
      </c>
      <c r="Q132" s="6"/>
    </row>
    <row r="133" customFormat="false" ht="15" hidden="false" customHeight="false" outlineLevel="0" collapsed="false">
      <c r="A133" s="4" t="n">
        <v>132</v>
      </c>
      <c r="B133" s="4" t="s">
        <v>36</v>
      </c>
      <c r="C133" s="4" t="s">
        <v>252</v>
      </c>
      <c r="D133" s="4" t="s">
        <v>252</v>
      </c>
      <c r="E133" s="4" t="s">
        <v>38</v>
      </c>
      <c r="F133" s="4" t="n">
        <v>6000</v>
      </c>
      <c r="G133" s="4" t="s">
        <v>54</v>
      </c>
      <c r="H133" s="4"/>
      <c r="I133" s="4"/>
      <c r="J133" s="4" t="n">
        <v>4</v>
      </c>
      <c r="K133" s="4"/>
      <c r="L133" s="4"/>
      <c r="M133" s="4"/>
      <c r="N133" s="4"/>
      <c r="O133" s="5" t="n">
        <f aca="false">IF(AND(J133="",K133="",M133=""),"",IF(OR(AND(N(K133)&gt;0,L133=""),AND(N(M133)&gt;0,N133="")),"à compléter",N(J133)+N(K133)*N(L133)+N(M133)*N(N133)))</f>
        <v>4</v>
      </c>
      <c r="P133" s="4"/>
      <c r="Q133" s="6"/>
    </row>
    <row r="134" customFormat="false" ht="15" hidden="false" customHeight="false" outlineLevel="0" collapsed="false">
      <c r="A134" s="4" t="n">
        <v>133</v>
      </c>
      <c r="B134" s="4" t="s">
        <v>36</v>
      </c>
      <c r="C134" s="4" t="s">
        <v>253</v>
      </c>
      <c r="D134" s="4" t="s">
        <v>253</v>
      </c>
      <c r="E134" s="4" t="s">
        <v>38</v>
      </c>
      <c r="F134" s="4" t="n">
        <v>1300</v>
      </c>
      <c r="G134" s="4" t="s">
        <v>54</v>
      </c>
      <c r="H134" s="4"/>
      <c r="I134" s="4"/>
      <c r="J134" s="4" t="n">
        <v>4</v>
      </c>
      <c r="K134" s="4"/>
      <c r="L134" s="4"/>
      <c r="M134" s="4"/>
      <c r="N134" s="4"/>
      <c r="O134" s="5" t="n">
        <f aca="false">IF(AND(J134="",K134="",M134=""),"",IF(OR(AND(N(K134)&gt;0,L134=""),AND(N(M134)&gt;0,N134="")),"à compléter",N(J134)+N(K134)*N(L134)+N(M134)*N(N134)))</f>
        <v>4</v>
      </c>
      <c r="P134" s="4"/>
      <c r="Q134" s="6"/>
    </row>
    <row r="135" customFormat="false" ht="15" hidden="false" customHeight="false" outlineLevel="0" collapsed="false">
      <c r="A135" s="4" t="n">
        <v>134</v>
      </c>
      <c r="B135" s="4" t="s">
        <v>36</v>
      </c>
      <c r="C135" s="4" t="s">
        <v>254</v>
      </c>
      <c r="D135" s="4" t="s">
        <v>254</v>
      </c>
      <c r="E135" s="4" t="s">
        <v>38</v>
      </c>
      <c r="F135" s="4" t="n">
        <v>200</v>
      </c>
      <c r="G135" s="4" t="s">
        <v>255</v>
      </c>
      <c r="H135" s="4"/>
      <c r="I135" s="4"/>
      <c r="J135" s="4" t="n">
        <v>28</v>
      </c>
      <c r="K135" s="4"/>
      <c r="L135" s="4"/>
      <c r="M135" s="4"/>
      <c r="N135" s="4"/>
      <c r="O135" s="5" t="n">
        <f aca="false">IF(AND(J135="",K135="",M135=""),"",IF(OR(AND(N(K135)&gt;0,L135=""),AND(N(M135)&gt;0,N135="")),"à compléter",N(J135)+N(K135)*N(L135)+N(M135)*N(N135)))</f>
        <v>28</v>
      </c>
      <c r="P135" s="4"/>
      <c r="Q135" s="6"/>
    </row>
    <row r="136" customFormat="false" ht="15" hidden="false" customHeight="false" outlineLevel="0" collapsed="false">
      <c r="A136" s="4" t="n">
        <v>135</v>
      </c>
      <c r="B136" s="4" t="s">
        <v>36</v>
      </c>
      <c r="C136" s="4" t="s">
        <v>256</v>
      </c>
      <c r="D136" s="4" t="s">
        <v>256</v>
      </c>
      <c r="E136" s="4" t="s">
        <v>38</v>
      </c>
      <c r="F136" s="4" t="n">
        <v>84</v>
      </c>
      <c r="G136" s="4" t="s">
        <v>257</v>
      </c>
      <c r="H136" s="4"/>
      <c r="I136" s="4"/>
      <c r="J136" s="4" t="n">
        <v>508</v>
      </c>
      <c r="K136" s="4"/>
      <c r="L136" s="4"/>
      <c r="M136" s="4"/>
      <c r="N136" s="4"/>
      <c r="O136" s="5" t="n">
        <f aca="false">IF(AND(J136="",K136="",M136=""),"",IF(OR(AND(N(K136)&gt;0,L136=""),AND(N(M136)&gt;0,N136="")),"à compléter",N(J136)+N(K136)*N(L136)+N(M136)*N(N136)))</f>
        <v>508</v>
      </c>
      <c r="P136" s="4"/>
      <c r="Q136" s="6"/>
    </row>
    <row r="137" customFormat="false" ht="15" hidden="false" customHeight="false" outlineLevel="0" collapsed="false">
      <c r="A137" s="4" t="n">
        <v>136</v>
      </c>
      <c r="B137" s="4" t="s">
        <v>36</v>
      </c>
      <c r="C137" s="4" t="s">
        <v>258</v>
      </c>
      <c r="D137" s="4" t="s">
        <v>258</v>
      </c>
      <c r="E137" s="4" t="s">
        <v>38</v>
      </c>
      <c r="F137" s="4" t="n">
        <v>150</v>
      </c>
      <c r="G137" s="4" t="s">
        <v>122</v>
      </c>
      <c r="H137" s="4"/>
      <c r="I137" s="4"/>
      <c r="J137" s="4" t="n">
        <v>6</v>
      </c>
      <c r="K137" s="4"/>
      <c r="L137" s="4"/>
      <c r="M137" s="4"/>
      <c r="N137" s="4"/>
      <c r="O137" s="5" t="n">
        <f aca="false">IF(AND(J137="",K137="",M137=""),"",IF(OR(AND(N(K137)&gt;0,L137=""),AND(N(M137)&gt;0,N137="")),"à compléter",N(J137)+N(K137)*N(L137)+N(M137)*N(N137)))</f>
        <v>6</v>
      </c>
      <c r="P137" s="4"/>
      <c r="Q137" s="6"/>
    </row>
    <row r="138" customFormat="false" ht="15" hidden="false" customHeight="false" outlineLevel="0" collapsed="false">
      <c r="A138" s="4" t="n">
        <v>137</v>
      </c>
      <c r="B138" s="4" t="s">
        <v>36</v>
      </c>
      <c r="C138" s="4" t="s">
        <v>259</v>
      </c>
      <c r="D138" s="4" t="s">
        <v>259</v>
      </c>
      <c r="E138" s="4" t="s">
        <v>38</v>
      </c>
      <c r="F138" s="4" t="n">
        <v>100</v>
      </c>
      <c r="G138" s="4" t="s">
        <v>129</v>
      </c>
      <c r="H138" s="4"/>
      <c r="I138" s="4"/>
      <c r="J138" s="4" t="n">
        <v>2</v>
      </c>
      <c r="K138" s="4"/>
      <c r="L138" s="4"/>
      <c r="M138" s="4"/>
      <c r="N138" s="4"/>
      <c r="O138" s="5" t="n">
        <f aca="false">IF(AND(J138="",K138="",M138=""),"",IF(OR(AND(N(K138)&gt;0,L138=""),AND(N(M138)&gt;0,N138="")),"à compléter",N(J138)+N(K138)*N(L138)+N(M138)*N(N138)))</f>
        <v>2</v>
      </c>
      <c r="P138" s="4"/>
      <c r="Q138" s="6"/>
    </row>
    <row r="139" customFormat="false" ht="15" hidden="false" customHeight="false" outlineLevel="0" collapsed="false">
      <c r="A139" s="4" t="n">
        <v>138</v>
      </c>
      <c r="B139" s="4" t="s">
        <v>36</v>
      </c>
      <c r="C139" s="4" t="s">
        <v>260</v>
      </c>
      <c r="D139" s="4" t="s">
        <v>260</v>
      </c>
      <c r="E139" s="4" t="s">
        <v>38</v>
      </c>
      <c r="F139" s="4" t="n">
        <v>250</v>
      </c>
      <c r="G139" s="4" t="s">
        <v>261</v>
      </c>
      <c r="H139" s="4" t="s">
        <v>262</v>
      </c>
      <c r="I139" s="4"/>
      <c r="J139" s="4" t="n">
        <v>437</v>
      </c>
      <c r="K139" s="4"/>
      <c r="L139" s="4"/>
      <c r="M139" s="4"/>
      <c r="N139" s="4"/>
      <c r="O139" s="5" t="n">
        <f aca="false">IF(AND(J139="",K139="",M139=""),"",IF(OR(AND(N(K139)&gt;0,L139=""),AND(N(M139)&gt;0,N139="")),"à compléter",N(J139)+N(K139)*N(L139)+N(M139)*N(N139)))</f>
        <v>437</v>
      </c>
      <c r="P139" s="4"/>
      <c r="Q139" s="6"/>
    </row>
    <row r="140" customFormat="false" ht="15" hidden="false" customHeight="false" outlineLevel="0" collapsed="false">
      <c r="A140" s="4" t="n">
        <v>139</v>
      </c>
      <c r="B140" s="4" t="s">
        <v>36</v>
      </c>
      <c r="C140" s="4" t="s">
        <v>263</v>
      </c>
      <c r="D140" s="4" t="s">
        <v>263</v>
      </c>
      <c r="E140" s="4" t="s">
        <v>38</v>
      </c>
      <c r="F140" s="4" t="n">
        <v>1200</v>
      </c>
      <c r="G140" s="4" t="s">
        <v>51</v>
      </c>
      <c r="H140" s="4"/>
      <c r="I140" s="4"/>
      <c r="J140" s="4" t="n">
        <v>2</v>
      </c>
      <c r="K140" s="4"/>
      <c r="L140" s="4"/>
      <c r="M140" s="4"/>
      <c r="N140" s="4"/>
      <c r="O140" s="5" t="n">
        <f aca="false">IF(AND(J140="",K140="",M140=""),"",IF(OR(AND(N(K140)&gt;0,L140=""),AND(N(M140)&gt;0,N140="")),"à compléter",N(J140)+N(K140)*N(L140)+N(M140)*N(N140)))</f>
        <v>2</v>
      </c>
      <c r="P140" s="4"/>
      <c r="Q140" s="6"/>
    </row>
    <row r="141" customFormat="false" ht="15" hidden="false" customHeight="false" outlineLevel="0" collapsed="false">
      <c r="A141" s="4" t="n">
        <v>140</v>
      </c>
      <c r="B141" s="4" t="s">
        <v>36</v>
      </c>
      <c r="C141" s="4" t="s">
        <v>264</v>
      </c>
      <c r="D141" s="4" t="s">
        <v>264</v>
      </c>
      <c r="E141" s="4" t="s">
        <v>38</v>
      </c>
      <c r="F141" s="6"/>
      <c r="G141" s="4" t="s">
        <v>175</v>
      </c>
      <c r="H141" s="4"/>
      <c r="I141" s="4"/>
      <c r="J141" s="4" t="n">
        <v>0</v>
      </c>
      <c r="K141" s="4"/>
      <c r="L141" s="4"/>
      <c r="M141" s="4"/>
      <c r="N141" s="4"/>
      <c r="O141" s="5" t="n">
        <f aca="false">IF(AND(J141="",K141="",M141=""),"",IF(OR(AND(N(K141)&gt;0,L141=""),AND(N(M141)&gt;0,N141="")),"à compléter",N(J141)+N(K141)*N(L141)+N(M141)*N(N141)))</f>
        <v>0</v>
      </c>
      <c r="P141" s="4"/>
      <c r="Q141" s="6"/>
    </row>
    <row r="142" customFormat="false" ht="15" hidden="false" customHeight="false" outlineLevel="0" collapsed="false">
      <c r="A142" s="4" t="n">
        <v>141</v>
      </c>
      <c r="B142" s="4" t="s">
        <v>36</v>
      </c>
      <c r="C142" s="4" t="s">
        <v>265</v>
      </c>
      <c r="D142" s="4" t="s">
        <v>265</v>
      </c>
      <c r="E142" s="4" t="s">
        <v>38</v>
      </c>
      <c r="F142" s="4" t="n">
        <v>400</v>
      </c>
      <c r="G142" s="4" t="s">
        <v>107</v>
      </c>
      <c r="H142" s="4"/>
      <c r="I142" s="4"/>
      <c r="J142" s="4" t="n">
        <v>13</v>
      </c>
      <c r="K142" s="4"/>
      <c r="L142" s="4"/>
      <c r="M142" s="4"/>
      <c r="N142" s="4"/>
      <c r="O142" s="5" t="n">
        <f aca="false">IF(AND(J142="",K142="",M142=""),"",IF(OR(AND(N(K142)&gt;0,L142=""),AND(N(M142)&gt;0,N142="")),"à compléter",N(J142)+N(K142)*N(L142)+N(M142)*N(N142)))</f>
        <v>13</v>
      </c>
      <c r="P142" s="4"/>
      <c r="Q142" s="6"/>
    </row>
    <row r="143" customFormat="false" ht="15" hidden="false" customHeight="false" outlineLevel="0" collapsed="false">
      <c r="A143" s="4" t="n">
        <v>142</v>
      </c>
      <c r="B143" s="7" t="s">
        <v>157</v>
      </c>
      <c r="C143" s="4" t="s">
        <v>266</v>
      </c>
      <c r="D143" s="7" t="s">
        <v>266</v>
      </c>
      <c r="E143" s="4" t="s">
        <v>38</v>
      </c>
      <c r="F143" s="6"/>
      <c r="G143" s="4"/>
      <c r="H143" s="4"/>
      <c r="I143" s="4"/>
      <c r="J143" s="4" t="n">
        <v>0</v>
      </c>
      <c r="K143" s="4"/>
      <c r="L143" s="4"/>
      <c r="M143" s="4"/>
      <c r="N143" s="4"/>
      <c r="O143" s="5" t="n">
        <f aca="false">IF(AND(J143="",K143="",M143=""),"",IF(OR(AND(N(K143)&gt;0,L143=""),AND(N(M143)&gt;0,N143="")),"à compléter",N(J143)+N(K143)*N(L143)+N(M143)*N(N143)))</f>
        <v>0</v>
      </c>
      <c r="P143" s="4" t="s">
        <v>159</v>
      </c>
      <c r="Q143" s="4"/>
    </row>
    <row r="144" customFormat="false" ht="15" hidden="false" customHeight="false" outlineLevel="0" collapsed="false">
      <c r="A144" s="4" t="n">
        <v>143</v>
      </c>
      <c r="B144" s="4" t="s">
        <v>36</v>
      </c>
      <c r="C144" s="4" t="s">
        <v>267</v>
      </c>
      <c r="D144" s="4" t="s">
        <v>267</v>
      </c>
      <c r="E144" s="4" t="s">
        <v>38</v>
      </c>
      <c r="F144" s="4" t="n">
        <v>200</v>
      </c>
      <c r="G144" s="4" t="s">
        <v>268</v>
      </c>
      <c r="H144" s="4"/>
      <c r="I144" s="4"/>
      <c r="J144" s="4" t="n">
        <v>15</v>
      </c>
      <c r="K144" s="4"/>
      <c r="L144" s="4"/>
      <c r="M144" s="4"/>
      <c r="N144" s="4"/>
      <c r="O144" s="5" t="n">
        <f aca="false">IF(AND(J144="",K144="",M144=""),"",IF(OR(AND(N(K144)&gt;0,L144=""),AND(N(M144)&gt;0,N144="")),"à compléter",N(J144)+N(K144)*N(L144)+N(M144)*N(N144)))</f>
        <v>15</v>
      </c>
      <c r="P144" s="4"/>
      <c r="Q144" s="6"/>
    </row>
    <row r="145" customFormat="false" ht="15" hidden="false" customHeight="false" outlineLevel="0" collapsed="false">
      <c r="A145" s="4" t="n">
        <v>144</v>
      </c>
      <c r="B145" s="4" t="s">
        <v>36</v>
      </c>
      <c r="C145" s="4" t="s">
        <v>269</v>
      </c>
      <c r="D145" s="4" t="s">
        <v>269</v>
      </c>
      <c r="E145" s="4" t="s">
        <v>38</v>
      </c>
      <c r="F145" s="4" t="n">
        <v>200</v>
      </c>
      <c r="G145" s="4" t="s">
        <v>156</v>
      </c>
      <c r="H145" s="4"/>
      <c r="I145" s="4"/>
      <c r="J145" s="4" t="n">
        <v>10</v>
      </c>
      <c r="K145" s="4"/>
      <c r="L145" s="4"/>
      <c r="M145" s="4"/>
      <c r="N145" s="4"/>
      <c r="O145" s="5" t="n">
        <f aca="false">IF(AND(J145="",K145="",M145=""),"",IF(OR(AND(N(K145)&gt;0,L145=""),AND(N(M145)&gt;0,N145="")),"à compléter",N(J145)+N(K145)*N(L145)+N(M145)*N(N145)))</f>
        <v>10</v>
      </c>
      <c r="P145" s="4"/>
      <c r="Q145" s="6"/>
    </row>
    <row r="146" customFormat="false" ht="15" hidden="false" customHeight="false" outlineLevel="0" collapsed="false">
      <c r="A146" s="4" t="n">
        <v>145</v>
      </c>
      <c r="B146" s="4" t="s">
        <v>36</v>
      </c>
      <c r="C146" s="4" t="s">
        <v>270</v>
      </c>
      <c r="D146" s="4" t="s">
        <v>270</v>
      </c>
      <c r="E146" s="4" t="s">
        <v>38</v>
      </c>
      <c r="F146" s="4" t="n">
        <v>200</v>
      </c>
      <c r="G146" s="4" t="s">
        <v>175</v>
      </c>
      <c r="H146" s="4" t="s">
        <v>271</v>
      </c>
      <c r="I146" s="4"/>
      <c r="J146" s="4" t="n">
        <v>24</v>
      </c>
      <c r="K146" s="4"/>
      <c r="L146" s="4"/>
      <c r="M146" s="4"/>
      <c r="N146" s="4"/>
      <c r="O146" s="5" t="n">
        <f aca="false">IF(AND(J146="",K146="",M146=""),"",IF(OR(AND(N(K146)&gt;0,L146=""),AND(N(M146)&gt;0,N146="")),"à compléter",N(J146)+N(K146)*N(L146)+N(M146)*N(N146)))</f>
        <v>24</v>
      </c>
      <c r="P146" s="4"/>
      <c r="Q146" s="6"/>
    </row>
    <row r="147" customFormat="false" ht="15" hidden="false" customHeight="false" outlineLevel="0" collapsed="false">
      <c r="A147" s="4" t="n">
        <v>146</v>
      </c>
      <c r="B147" s="4" t="s">
        <v>36</v>
      </c>
      <c r="C147" s="4" t="s">
        <v>272</v>
      </c>
      <c r="D147" s="4" t="s">
        <v>272</v>
      </c>
      <c r="E147" s="4" t="s">
        <v>38</v>
      </c>
      <c r="F147" s="4" t="n">
        <v>50</v>
      </c>
      <c r="G147" s="4" t="s">
        <v>103</v>
      </c>
      <c r="H147" s="4"/>
      <c r="I147" s="4"/>
      <c r="J147" s="4" t="n">
        <v>12</v>
      </c>
      <c r="K147" s="4"/>
      <c r="L147" s="4"/>
      <c r="M147" s="4"/>
      <c r="N147" s="4"/>
      <c r="O147" s="5" t="n">
        <f aca="false">IF(AND(J147="",K147="",M147=""),"",IF(OR(AND(N(K147)&gt;0,L147=""),AND(N(M147)&gt;0,N147="")),"à compléter",N(J147)+N(K147)*N(L147)+N(M147)*N(N147)))</f>
        <v>12</v>
      </c>
      <c r="P147" s="4"/>
      <c r="Q147" s="6"/>
    </row>
    <row r="148" customFormat="false" ht="15" hidden="false" customHeight="false" outlineLevel="0" collapsed="false">
      <c r="A148" s="4" t="n">
        <v>147</v>
      </c>
      <c r="B148" s="4" t="s">
        <v>36</v>
      </c>
      <c r="C148" s="4" t="s">
        <v>273</v>
      </c>
      <c r="D148" s="4" t="s">
        <v>273</v>
      </c>
      <c r="E148" s="4" t="s">
        <v>38</v>
      </c>
      <c r="F148" s="4" t="n">
        <v>200</v>
      </c>
      <c r="G148" s="4" t="s">
        <v>274</v>
      </c>
      <c r="H148" s="4"/>
      <c r="I148" s="4"/>
      <c r="J148" s="4" t="n">
        <v>71</v>
      </c>
      <c r="K148" s="4"/>
      <c r="L148" s="4"/>
      <c r="M148" s="4"/>
      <c r="N148" s="4"/>
      <c r="O148" s="5" t="n">
        <f aca="false">IF(AND(J148="",K148="",M148=""),"",IF(OR(AND(N(K148)&gt;0,L148=""),AND(N(M148)&gt;0,N148="")),"à compléter",N(J148)+N(K148)*N(L148)+N(M148)*N(N148)))</f>
        <v>71</v>
      </c>
      <c r="P148" s="4" t="s">
        <v>275</v>
      </c>
      <c r="Q148" s="6"/>
    </row>
    <row r="149" customFormat="false" ht="15" hidden="false" customHeight="false" outlineLevel="0" collapsed="false">
      <c r="A149" s="4" t="n">
        <v>148</v>
      </c>
      <c r="B149" s="4" t="s">
        <v>36</v>
      </c>
      <c r="C149" s="4" t="s">
        <v>276</v>
      </c>
      <c r="D149" s="4" t="s">
        <v>276</v>
      </c>
      <c r="E149" s="4" t="s">
        <v>38</v>
      </c>
      <c r="F149" s="4" t="n">
        <v>200</v>
      </c>
      <c r="G149" s="4" t="s">
        <v>54</v>
      </c>
      <c r="H149" s="4"/>
      <c r="I149" s="4"/>
      <c r="J149" s="4" t="n">
        <v>4</v>
      </c>
      <c r="K149" s="4"/>
      <c r="L149" s="4"/>
      <c r="M149" s="4"/>
      <c r="N149" s="4"/>
      <c r="O149" s="5" t="n">
        <f aca="false">IF(AND(J149="",K149="",M149=""),"",IF(OR(AND(N(K149)&gt;0,L149=""),AND(N(M149)&gt;0,N149="")),"à compléter",N(J149)+N(K149)*N(L149)+N(M149)*N(N149)))</f>
        <v>4</v>
      </c>
      <c r="P149" s="4"/>
      <c r="Q149" s="6"/>
    </row>
    <row r="150" customFormat="false" ht="26.85" hidden="false" customHeight="false" outlineLevel="0" collapsed="false">
      <c r="A150" s="4" t="n">
        <v>149</v>
      </c>
      <c r="B150" s="7" t="s">
        <v>59</v>
      </c>
      <c r="C150" s="4" t="s">
        <v>277</v>
      </c>
      <c r="D150" s="7" t="s">
        <v>278</v>
      </c>
      <c r="E150" s="4" t="s">
        <v>38</v>
      </c>
      <c r="F150" s="4" t="n">
        <v>100</v>
      </c>
      <c r="G150" s="4" t="s">
        <v>116</v>
      </c>
      <c r="H150" s="4" t="s">
        <v>279</v>
      </c>
      <c r="I150" s="4"/>
      <c r="J150" s="4" t="n">
        <v>13</v>
      </c>
      <c r="K150" s="4"/>
      <c r="L150" s="4"/>
      <c r="M150" s="4"/>
      <c r="N150" s="4"/>
      <c r="O150" s="5" t="n">
        <f aca="false">IF(AND(J150="",K150="",M150=""),"",IF(OR(AND(N(K150)&gt;0,L150=""),AND(N(M150)&gt;0,N150="")),"à compléter",N(J150)+N(K150)*N(L150)+N(M150)*N(N150)))</f>
        <v>13</v>
      </c>
      <c r="P150" s="4"/>
      <c r="Q150" s="6"/>
    </row>
    <row r="151" customFormat="false" ht="26.85" hidden="false" customHeight="false" outlineLevel="0" collapsed="false">
      <c r="A151" s="4"/>
      <c r="B151" s="7" t="s">
        <v>280</v>
      </c>
      <c r="C151" s="4"/>
      <c r="D151" s="7" t="s">
        <v>281</v>
      </c>
      <c r="E151" s="4" t="s">
        <v>38</v>
      </c>
      <c r="F151" s="4" t="n">
        <v>150</v>
      </c>
      <c r="G151" s="4" t="s">
        <v>282</v>
      </c>
      <c r="H151" s="4" t="s">
        <v>207</v>
      </c>
      <c r="I151" s="4"/>
      <c r="J151" s="4" t="n">
        <v>36</v>
      </c>
      <c r="K151" s="4"/>
      <c r="L151" s="4"/>
      <c r="M151" s="4"/>
      <c r="N151" s="4"/>
      <c r="O151" s="5" t="n">
        <f aca="false">IF(AND(J151="",K151="",M151=""),"",IF(OR(AND(N(K151)&gt;0,L151=""),AND(N(M151)&gt;0,N151="")),"à compléter",N(J151)+N(K151)*N(L151)+N(M151)*N(N151)))</f>
        <v>36</v>
      </c>
      <c r="P151" s="4" t="s">
        <v>283</v>
      </c>
      <c r="Q151" s="6"/>
    </row>
    <row r="152" customFormat="false" ht="26.85" hidden="false" customHeight="false" outlineLevel="0" collapsed="false">
      <c r="A152" s="4" t="n">
        <v>150</v>
      </c>
      <c r="B152" s="7" t="s">
        <v>59</v>
      </c>
      <c r="C152" s="4" t="s">
        <v>284</v>
      </c>
      <c r="D152" s="7" t="s">
        <v>285</v>
      </c>
      <c r="E152" s="4" t="s">
        <v>38</v>
      </c>
      <c r="F152" s="4" t="n">
        <v>4000</v>
      </c>
      <c r="G152" s="4" t="s">
        <v>43</v>
      </c>
      <c r="H152" s="4" t="s">
        <v>286</v>
      </c>
      <c r="I152" s="4" t="s">
        <v>287</v>
      </c>
      <c r="J152" s="4" t="n">
        <v>3</v>
      </c>
      <c r="K152" s="4"/>
      <c r="L152" s="4"/>
      <c r="M152" s="4"/>
      <c r="N152" s="4"/>
      <c r="O152" s="5" t="n">
        <f aca="false">IF(AND(J152="",K152="",M152=""),"",IF(OR(AND(N(K152)&gt;0,L152=""),AND(N(M152)&gt;0,N152="")),"à compléter",N(J152)+N(K152)*N(L152)+N(M152)*N(N152)))</f>
        <v>3</v>
      </c>
      <c r="P152" s="4"/>
      <c r="Q152" s="6"/>
    </row>
    <row r="153" customFormat="false" ht="15" hidden="false" customHeight="false" outlineLevel="0" collapsed="false">
      <c r="A153" s="4" t="n">
        <v>151</v>
      </c>
      <c r="B153" s="4" t="s">
        <v>36</v>
      </c>
      <c r="C153" s="4" t="s">
        <v>288</v>
      </c>
      <c r="D153" s="4" t="s">
        <v>288</v>
      </c>
      <c r="E153" s="4" t="s">
        <v>38</v>
      </c>
      <c r="F153" s="4" t="n">
        <v>100</v>
      </c>
      <c r="G153" s="4" t="s">
        <v>64</v>
      </c>
      <c r="H153" s="4"/>
      <c r="I153" s="4"/>
      <c r="J153" s="4" t="n">
        <v>33</v>
      </c>
      <c r="K153" s="4"/>
      <c r="L153" s="4"/>
      <c r="M153" s="4"/>
      <c r="N153" s="4"/>
      <c r="O153" s="5" t="n">
        <f aca="false">IF(AND(J153="",K153="",M153=""),"",IF(OR(AND(N(K153)&gt;0,L153=""),AND(N(M153)&gt;0,N153="")),"à compléter",N(J153)+N(K153)*N(L153)+N(M153)*N(N153)))</f>
        <v>33</v>
      </c>
      <c r="P153" s="4"/>
      <c r="Q153" s="6"/>
    </row>
    <row r="154" customFormat="false" ht="15" hidden="false" customHeight="false" outlineLevel="0" collapsed="false">
      <c r="A154" s="4" t="n">
        <v>152</v>
      </c>
      <c r="B154" s="4" t="s">
        <v>36</v>
      </c>
      <c r="C154" s="4" t="s">
        <v>289</v>
      </c>
      <c r="D154" s="4" t="s">
        <v>289</v>
      </c>
      <c r="E154" s="4" t="s">
        <v>38</v>
      </c>
      <c r="F154" s="4" t="n">
        <v>200</v>
      </c>
      <c r="G154" s="4" t="s">
        <v>290</v>
      </c>
      <c r="H154" s="4"/>
      <c r="I154" s="4"/>
      <c r="J154" s="4" t="n">
        <v>75</v>
      </c>
      <c r="K154" s="4"/>
      <c r="L154" s="4"/>
      <c r="M154" s="4"/>
      <c r="N154" s="4"/>
      <c r="O154" s="5" t="n">
        <f aca="false">IF(AND(J154="",K154="",M154=""),"",IF(OR(AND(N(K154)&gt;0,L154=""),AND(N(M154)&gt;0,N154="")),"à compléter",N(J154)+N(K154)*N(L154)+N(M154)*N(N154)))</f>
        <v>75</v>
      </c>
      <c r="P154" s="4"/>
      <c r="Q154" s="6"/>
    </row>
    <row r="155" customFormat="false" ht="15" hidden="false" customHeight="false" outlineLevel="0" collapsed="false">
      <c r="A155" s="4" t="n">
        <v>153</v>
      </c>
      <c r="B155" s="4" t="s">
        <v>36</v>
      </c>
      <c r="C155" s="4" t="s">
        <v>291</v>
      </c>
      <c r="D155" s="4" t="s">
        <v>291</v>
      </c>
      <c r="E155" s="4" t="s">
        <v>38</v>
      </c>
      <c r="F155" s="4" t="n">
        <v>200</v>
      </c>
      <c r="G155" s="4" t="s">
        <v>122</v>
      </c>
      <c r="H155" s="4"/>
      <c r="I155" s="4"/>
      <c r="J155" s="4" t="n">
        <v>6</v>
      </c>
      <c r="K155" s="4"/>
      <c r="L155" s="4"/>
      <c r="M155" s="4"/>
      <c r="N155" s="4"/>
      <c r="O155" s="5" t="n">
        <f aca="false">IF(AND(J155="",K155="",M155=""),"",IF(OR(AND(N(K155)&gt;0,L155=""),AND(N(M155)&gt;0,N155="")),"à compléter",N(J155)+N(K155)*N(L155)+N(M155)*N(N155)))</f>
        <v>6</v>
      </c>
      <c r="P155" s="4"/>
      <c r="Q155" s="6"/>
    </row>
    <row r="156" customFormat="false" ht="15" hidden="false" customHeight="false" outlineLevel="0" collapsed="false">
      <c r="A156" s="4" t="n">
        <v>154</v>
      </c>
      <c r="B156" s="4" t="s">
        <v>36</v>
      </c>
      <c r="C156" s="4" t="s">
        <v>292</v>
      </c>
      <c r="D156" s="4" t="s">
        <v>292</v>
      </c>
      <c r="E156" s="4" t="s">
        <v>38</v>
      </c>
      <c r="F156" s="4" t="n">
        <v>170</v>
      </c>
      <c r="G156" s="4" t="s">
        <v>81</v>
      </c>
      <c r="H156" s="4"/>
      <c r="I156" s="4"/>
      <c r="J156" s="4" t="n">
        <v>14</v>
      </c>
      <c r="K156" s="4"/>
      <c r="L156" s="4"/>
      <c r="M156" s="4"/>
      <c r="N156" s="4"/>
      <c r="O156" s="5" t="n">
        <f aca="false">IF(AND(J156="",K156="",M156=""),"",IF(OR(AND(N(K156)&gt;0,L156=""),AND(N(M156)&gt;0,N156="")),"à compléter",N(J156)+N(K156)*N(L156)+N(M156)*N(N156)))</f>
        <v>14</v>
      </c>
      <c r="P156" s="4"/>
      <c r="Q156" s="6"/>
    </row>
    <row r="157" customFormat="false" ht="15" hidden="false" customHeight="false" outlineLevel="0" collapsed="false">
      <c r="A157" s="4" t="n">
        <v>155</v>
      </c>
      <c r="B157" s="4" t="s">
        <v>36</v>
      </c>
      <c r="C157" s="4" t="s">
        <v>293</v>
      </c>
      <c r="D157" s="4" t="s">
        <v>293</v>
      </c>
      <c r="E157" s="4" t="s">
        <v>38</v>
      </c>
      <c r="F157" s="4" t="n">
        <v>167</v>
      </c>
      <c r="G157" s="4" t="s">
        <v>105</v>
      </c>
      <c r="H157" s="4"/>
      <c r="I157" s="4"/>
      <c r="J157" s="4" t="n">
        <v>23</v>
      </c>
      <c r="K157" s="4"/>
      <c r="L157" s="4"/>
      <c r="M157" s="4"/>
      <c r="N157" s="4"/>
      <c r="O157" s="5" t="n">
        <f aca="false">IF(AND(J157="",K157="",M157=""),"",IF(OR(AND(N(K157)&gt;0,L157=""),AND(N(M157)&gt;0,N157="")),"à compléter",N(J157)+N(K157)*N(L157)+N(M157)*N(N157)))</f>
        <v>23</v>
      </c>
      <c r="P157" s="4"/>
      <c r="Q157" s="6"/>
    </row>
    <row r="158" customFormat="false" ht="26.85" hidden="false" customHeight="false" outlineLevel="0" collapsed="false">
      <c r="A158" s="4" t="n">
        <v>156</v>
      </c>
      <c r="B158" s="4" t="s">
        <v>36</v>
      </c>
      <c r="C158" s="4" t="s">
        <v>294</v>
      </c>
      <c r="D158" s="4" t="s">
        <v>294</v>
      </c>
      <c r="E158" s="4" t="s">
        <v>38</v>
      </c>
      <c r="F158" s="4" t="n">
        <v>2500</v>
      </c>
      <c r="G158" s="4" t="s">
        <v>295</v>
      </c>
      <c r="H158" s="4" t="s">
        <v>156</v>
      </c>
      <c r="I158" s="4" t="s">
        <v>296</v>
      </c>
      <c r="J158" s="4" t="n">
        <v>14.5</v>
      </c>
      <c r="K158" s="4"/>
      <c r="L158" s="4"/>
      <c r="M158" s="4"/>
      <c r="N158" s="4"/>
      <c r="O158" s="5" t="n">
        <f aca="false">IF(AND(J158="",K158="",M158=""),"",IF(OR(AND(N(K158)&gt;0,L158=""),AND(N(M158)&gt;0,N158="")),"à compléter",N(J158)+N(K158)*N(L158)+N(M158)*N(N158)))</f>
        <v>14.5</v>
      </c>
      <c r="P158" s="4" t="s">
        <v>297</v>
      </c>
      <c r="Q158" s="6"/>
    </row>
    <row r="159" customFormat="false" ht="15" hidden="false" customHeight="false" outlineLevel="0" collapsed="false">
      <c r="A159" s="4" t="n">
        <v>157</v>
      </c>
      <c r="B159" s="4" t="s">
        <v>36</v>
      </c>
      <c r="C159" s="4" t="s">
        <v>298</v>
      </c>
      <c r="D159" s="4" t="s">
        <v>298</v>
      </c>
      <c r="E159" s="4" t="s">
        <v>38</v>
      </c>
      <c r="F159" s="4" t="n">
        <v>3000</v>
      </c>
      <c r="G159" s="4" t="s">
        <v>299</v>
      </c>
      <c r="H159" s="4" t="s">
        <v>107</v>
      </c>
      <c r="I159" s="4" t="s">
        <v>296</v>
      </c>
      <c r="J159" s="4" t="n">
        <v>15.75</v>
      </c>
      <c r="K159" s="4"/>
      <c r="L159" s="4"/>
      <c r="M159" s="4"/>
      <c r="N159" s="4"/>
      <c r="O159" s="5" t="n">
        <f aca="false">IF(AND(J159="",K159="",M159=""),"",IF(OR(AND(N(K159)&gt;0,L159=""),AND(N(M159)&gt;0,N159="")),"à compléter",N(J159)+N(K159)*N(L159)+N(M159)*N(N159)))</f>
        <v>15.75</v>
      </c>
      <c r="P159" s="4" t="s">
        <v>300</v>
      </c>
      <c r="Q159" s="6"/>
    </row>
    <row r="160" customFormat="false" ht="15" hidden="false" customHeight="false" outlineLevel="0" collapsed="false">
      <c r="A160" s="4"/>
      <c r="B160" s="7" t="s">
        <v>280</v>
      </c>
      <c r="C160" s="4"/>
      <c r="D160" s="7" t="s">
        <v>301</v>
      </c>
      <c r="E160" s="4" t="s">
        <v>38</v>
      </c>
      <c r="F160" s="4" t="n">
        <v>3500</v>
      </c>
      <c r="G160" s="4" t="s">
        <v>282</v>
      </c>
      <c r="H160" s="4"/>
      <c r="I160" s="4"/>
      <c r="J160" s="4" t="n">
        <v>0</v>
      </c>
      <c r="K160" s="4"/>
      <c r="L160" s="4"/>
      <c r="M160" s="4"/>
      <c r="N160" s="4"/>
      <c r="O160" s="5" t="n">
        <f aca="false">IF(AND(J160="",K160="",M160=""),"",IF(OR(AND(N(K160)&gt;0,L160=""),AND(N(M160)&gt;0,N160="")),"à compléter",N(J160)+N(K160)*N(L160)+N(M160)*N(N160)))</f>
        <v>0</v>
      </c>
      <c r="P160" s="4" t="s">
        <v>302</v>
      </c>
      <c r="Q160" s="6"/>
    </row>
    <row r="161" customFormat="false" ht="15" hidden="false" customHeight="false" outlineLevel="0" collapsed="false">
      <c r="A161" s="4" t="n">
        <v>158</v>
      </c>
      <c r="B161" s="4" t="s">
        <v>36</v>
      </c>
      <c r="C161" s="4" t="s">
        <v>303</v>
      </c>
      <c r="D161" s="4" t="s">
        <v>303</v>
      </c>
      <c r="E161" s="4" t="s">
        <v>38</v>
      </c>
      <c r="F161" s="4" t="n">
        <v>500</v>
      </c>
      <c r="G161" s="4" t="s">
        <v>304</v>
      </c>
      <c r="H161" s="4"/>
      <c r="I161" s="4"/>
      <c r="J161" s="4" t="n">
        <v>70</v>
      </c>
      <c r="K161" s="4"/>
      <c r="L161" s="4"/>
      <c r="M161" s="4"/>
      <c r="N161" s="4"/>
      <c r="O161" s="5" t="n">
        <f aca="false">IF(AND(J161="",K161="",M161=""),"",IF(OR(AND(N(K161)&gt;0,L161=""),AND(N(M161)&gt;0,N161="")),"à compléter",N(J161)+N(K161)*N(L161)+N(M161)*N(N161)))</f>
        <v>70</v>
      </c>
      <c r="P161" s="4"/>
      <c r="Q161" s="6"/>
    </row>
    <row r="162" customFormat="false" ht="15" hidden="false" customHeight="false" outlineLevel="0" collapsed="false">
      <c r="A162" s="4" t="n">
        <v>159</v>
      </c>
      <c r="B162" s="4" t="s">
        <v>36</v>
      </c>
      <c r="C162" s="4" t="s">
        <v>305</v>
      </c>
      <c r="D162" s="4" t="s">
        <v>305</v>
      </c>
      <c r="E162" s="4" t="s">
        <v>38</v>
      </c>
      <c r="F162" s="4" t="n">
        <v>1800</v>
      </c>
      <c r="G162" s="4" t="s">
        <v>54</v>
      </c>
      <c r="H162" s="4" t="s">
        <v>204</v>
      </c>
      <c r="I162" s="4" t="s">
        <v>306</v>
      </c>
      <c r="J162" s="4" t="n">
        <v>7</v>
      </c>
      <c r="K162" s="4"/>
      <c r="L162" s="4"/>
      <c r="M162" s="4"/>
      <c r="N162" s="4"/>
      <c r="O162" s="5" t="n">
        <f aca="false">IF(AND(J162="",K162="",M162=""),"",IF(OR(AND(N(K162)&gt;0,L162=""),AND(N(M162)&gt;0,N162="")),"à compléter",N(J162)+N(K162)*N(L162)+N(M162)*N(N162)))</f>
        <v>7</v>
      </c>
      <c r="P162" s="4"/>
      <c r="Q162" s="6"/>
    </row>
    <row r="163" customFormat="false" ht="15" hidden="false" customHeight="false" outlineLevel="0" collapsed="false">
      <c r="A163" s="4" t="n">
        <v>160</v>
      </c>
      <c r="B163" s="4" t="s">
        <v>36</v>
      </c>
      <c r="C163" s="4" t="s">
        <v>307</v>
      </c>
      <c r="D163" s="4" t="s">
        <v>307</v>
      </c>
      <c r="E163" s="4" t="s">
        <v>38</v>
      </c>
      <c r="F163" s="4" t="n">
        <v>334</v>
      </c>
      <c r="G163" s="4" t="s">
        <v>95</v>
      </c>
      <c r="H163" s="4"/>
      <c r="I163" s="4" t="s">
        <v>287</v>
      </c>
      <c r="J163" s="4" t="n">
        <v>17</v>
      </c>
      <c r="K163" s="4"/>
      <c r="L163" s="4"/>
      <c r="M163" s="4"/>
      <c r="N163" s="4"/>
      <c r="O163" s="5" t="n">
        <f aca="false">IF(AND(J163="",K163="",M163=""),"",IF(OR(AND(N(K163)&gt;0,L163=""),AND(N(M163)&gt;0,N163="")),"à compléter",N(J163)+N(K163)*N(L163)+N(M163)*N(N163)))</f>
        <v>17</v>
      </c>
      <c r="P163" s="4" t="s">
        <v>308</v>
      </c>
      <c r="Q163" s="6"/>
    </row>
    <row r="164" customFormat="false" ht="26.85" hidden="false" customHeight="false" outlineLevel="0" collapsed="false">
      <c r="A164" s="4" t="n">
        <v>161</v>
      </c>
      <c r="B164" s="7" t="s">
        <v>59</v>
      </c>
      <c r="C164" s="4" t="s">
        <v>309</v>
      </c>
      <c r="D164" s="7" t="s">
        <v>310</v>
      </c>
      <c r="E164" s="4" t="s">
        <v>38</v>
      </c>
      <c r="F164" s="4" t="n">
        <v>500</v>
      </c>
      <c r="G164" s="4" t="s">
        <v>43</v>
      </c>
      <c r="H164" s="4" t="s">
        <v>70</v>
      </c>
      <c r="I164" s="4"/>
      <c r="J164" s="4" t="n">
        <v>60</v>
      </c>
      <c r="K164" s="4"/>
      <c r="L164" s="4"/>
      <c r="M164" s="4"/>
      <c r="N164" s="4"/>
      <c r="O164" s="5" t="n">
        <f aca="false">IF(AND(J164="",K164="",M164=""),"",IF(OR(AND(N(K164)&gt;0,L164=""),AND(N(M164)&gt;0,N164="")),"à compléter",N(J164)+N(K164)*N(L164)+N(M164)*N(N164)))</f>
        <v>60</v>
      </c>
      <c r="P164" s="4"/>
      <c r="Q164" s="6"/>
    </row>
    <row r="165" customFormat="false" ht="15" hidden="false" customHeight="false" outlineLevel="0" collapsed="false">
      <c r="A165" s="4" t="n">
        <v>162</v>
      </c>
      <c r="B165" s="4" t="s">
        <v>36</v>
      </c>
      <c r="C165" s="4" t="s">
        <v>311</v>
      </c>
      <c r="D165" s="4" t="s">
        <v>311</v>
      </c>
      <c r="E165" s="4" t="s">
        <v>38</v>
      </c>
      <c r="F165" s="4" t="n">
        <v>435</v>
      </c>
      <c r="G165" s="4" t="s">
        <v>268</v>
      </c>
      <c r="H165" s="4"/>
      <c r="I165" s="4"/>
      <c r="J165" s="4" t="n">
        <v>15</v>
      </c>
      <c r="K165" s="4"/>
      <c r="L165" s="4"/>
      <c r="M165" s="4"/>
      <c r="N165" s="4"/>
      <c r="O165" s="5" t="n">
        <f aca="false">IF(AND(J165="",K165="",M165=""),"",IF(OR(AND(N(K165)&gt;0,L165=""),AND(N(M165)&gt;0,N165="")),"à compléter",N(J165)+N(K165)*N(L165)+N(M165)*N(N165)))</f>
        <v>15</v>
      </c>
      <c r="P165" s="4"/>
      <c r="Q165" s="6"/>
    </row>
    <row r="166" customFormat="false" ht="15" hidden="false" customHeight="false" outlineLevel="0" collapsed="false">
      <c r="A166" s="4" t="n">
        <v>163</v>
      </c>
      <c r="B166" s="4" t="s">
        <v>36</v>
      </c>
      <c r="C166" s="4" t="s">
        <v>312</v>
      </c>
      <c r="D166" s="4" t="s">
        <v>312</v>
      </c>
      <c r="E166" s="4" t="s">
        <v>38</v>
      </c>
      <c r="F166" s="4" t="n">
        <v>420</v>
      </c>
      <c r="G166" s="4" t="s">
        <v>83</v>
      </c>
      <c r="H166" s="4"/>
      <c r="I166" s="4"/>
      <c r="J166" s="4" t="n">
        <v>24</v>
      </c>
      <c r="K166" s="4"/>
      <c r="L166" s="4"/>
      <c r="M166" s="4"/>
      <c r="N166" s="4"/>
      <c r="O166" s="5" t="n">
        <f aca="false">IF(AND(J166="",K166="",M166=""),"",IF(OR(AND(N(K166)&gt;0,L166=""),AND(N(M166)&gt;0,N166="")),"à compléter",N(J166)+N(K166)*N(L166)+N(M166)*N(N166)))</f>
        <v>24</v>
      </c>
      <c r="P166" s="4"/>
      <c r="Q166" s="6"/>
    </row>
    <row r="167" customFormat="false" ht="15" hidden="false" customHeight="false" outlineLevel="0" collapsed="false">
      <c r="A167" s="4" t="n">
        <v>164</v>
      </c>
      <c r="B167" s="4" t="s">
        <v>36</v>
      </c>
      <c r="C167" s="4" t="s">
        <v>313</v>
      </c>
      <c r="D167" s="4" t="s">
        <v>313</v>
      </c>
      <c r="E167" s="4" t="s">
        <v>38</v>
      </c>
      <c r="F167" s="4" t="n">
        <v>420</v>
      </c>
      <c r="G167" s="4" t="s">
        <v>314</v>
      </c>
      <c r="H167" s="4"/>
      <c r="I167" s="4"/>
      <c r="J167" s="4" t="n">
        <v>76</v>
      </c>
      <c r="K167" s="4"/>
      <c r="L167" s="4"/>
      <c r="M167" s="4"/>
      <c r="N167" s="4"/>
      <c r="O167" s="5" t="n">
        <f aca="false">IF(AND(J167="",K167="",M167=""),"",IF(OR(AND(N(K167)&gt;0,L167=""),AND(N(M167)&gt;0,N167="")),"à compléter",N(J167)+N(K167)*N(L167)+N(M167)*N(N167)))</f>
        <v>76</v>
      </c>
      <c r="P167" s="4"/>
      <c r="Q167" s="6"/>
    </row>
    <row r="168" customFormat="false" ht="15" hidden="false" customHeight="false" outlineLevel="0" collapsed="false">
      <c r="A168" s="4" t="n">
        <v>165</v>
      </c>
      <c r="B168" s="4" t="s">
        <v>36</v>
      </c>
      <c r="C168" s="4" t="s">
        <v>315</v>
      </c>
      <c r="D168" s="4" t="s">
        <v>315</v>
      </c>
      <c r="E168" s="4" t="s">
        <v>38</v>
      </c>
      <c r="F168" s="4" t="n">
        <v>420</v>
      </c>
      <c r="G168" s="4" t="s">
        <v>290</v>
      </c>
      <c r="H168" s="4"/>
      <c r="I168" s="4"/>
      <c r="J168" s="4" t="n">
        <v>75</v>
      </c>
      <c r="K168" s="4"/>
      <c r="L168" s="4"/>
      <c r="M168" s="4"/>
      <c r="N168" s="4"/>
      <c r="O168" s="5" t="n">
        <f aca="false">IF(AND(J168="",K168="",M168=""),"",IF(OR(AND(N(K168)&gt;0,L168=""),AND(N(M168)&gt;0,N168="")),"à compléter",N(J168)+N(K168)*N(L168)+N(M168)*N(N168)))</f>
        <v>75</v>
      </c>
      <c r="P168" s="4"/>
      <c r="Q168" s="6"/>
    </row>
    <row r="169" customFormat="false" ht="15" hidden="false" customHeight="false" outlineLevel="0" collapsed="false">
      <c r="A169" s="4" t="n">
        <v>166</v>
      </c>
      <c r="B169" s="4" t="s">
        <v>36</v>
      </c>
      <c r="C169" s="4" t="s">
        <v>316</v>
      </c>
      <c r="D169" s="4" t="s">
        <v>316</v>
      </c>
      <c r="E169" s="4" t="s">
        <v>38</v>
      </c>
      <c r="F169" s="4" t="n">
        <v>400</v>
      </c>
      <c r="G169" s="4" t="s">
        <v>81</v>
      </c>
      <c r="H169" s="4"/>
      <c r="I169" s="4"/>
      <c r="J169" s="4" t="n">
        <v>14</v>
      </c>
      <c r="K169" s="4"/>
      <c r="L169" s="4"/>
      <c r="M169" s="4"/>
      <c r="N169" s="4"/>
      <c r="O169" s="5" t="n">
        <f aca="false">IF(AND(J169="",K169="",M169=""),"",IF(OR(AND(N(K169)&gt;0,L169=""),AND(N(M169)&gt;0,N169="")),"à compléter",N(J169)+N(K169)*N(L169)+N(M169)*N(N169)))</f>
        <v>14</v>
      </c>
      <c r="P169" s="4"/>
      <c r="Q169" s="6"/>
    </row>
    <row r="170" customFormat="false" ht="15" hidden="false" customHeight="false" outlineLevel="0" collapsed="false">
      <c r="A170" s="4" t="n">
        <v>167</v>
      </c>
      <c r="B170" s="4" t="s">
        <v>36</v>
      </c>
      <c r="C170" s="4" t="s">
        <v>317</v>
      </c>
      <c r="D170" s="4" t="s">
        <v>317</v>
      </c>
      <c r="E170" s="4" t="s">
        <v>38</v>
      </c>
      <c r="F170" s="4" t="n">
        <v>400</v>
      </c>
      <c r="G170" s="4" t="s">
        <v>175</v>
      </c>
      <c r="H170" s="4"/>
      <c r="I170" s="4"/>
      <c r="J170" s="4" t="n">
        <v>0</v>
      </c>
      <c r="K170" s="4"/>
      <c r="L170" s="4"/>
      <c r="M170" s="4"/>
      <c r="N170" s="4"/>
      <c r="O170" s="5" t="n">
        <f aca="false">IF(AND(J170="",K170="",M170=""),"",IF(OR(AND(N(K170)&gt;0,L170=""),AND(N(M170)&gt;0,N170="")),"à compléter",N(J170)+N(K170)*N(L170)+N(M170)*N(N170)))</f>
        <v>0</v>
      </c>
      <c r="P170" s="4"/>
      <c r="Q170" s="6"/>
    </row>
    <row r="171" customFormat="false" ht="15" hidden="false" customHeight="false" outlineLevel="0" collapsed="false">
      <c r="A171" s="4" t="n">
        <v>168</v>
      </c>
      <c r="B171" s="4" t="s">
        <v>36</v>
      </c>
      <c r="C171" s="4" t="s">
        <v>318</v>
      </c>
      <c r="D171" s="4" t="s">
        <v>318</v>
      </c>
      <c r="E171" s="4" t="s">
        <v>38</v>
      </c>
      <c r="F171" s="4" t="n">
        <v>500</v>
      </c>
      <c r="G171" s="4" t="s">
        <v>156</v>
      </c>
      <c r="H171" s="4"/>
      <c r="I171" s="4"/>
      <c r="J171" s="4" t="n">
        <v>10</v>
      </c>
      <c r="K171" s="4"/>
      <c r="L171" s="4"/>
      <c r="M171" s="4"/>
      <c r="N171" s="4"/>
      <c r="O171" s="5" t="n">
        <f aca="false">IF(AND(J171="",K171="",M171=""),"",IF(OR(AND(N(K171)&gt;0,L171=""),AND(N(M171)&gt;0,N171="")),"à compléter",N(J171)+N(K171)*N(L171)+N(M171)*N(N171)))</f>
        <v>10</v>
      </c>
      <c r="P171" s="4"/>
      <c r="Q171" s="6"/>
    </row>
    <row r="172" customFormat="false" ht="15" hidden="false" customHeight="false" outlineLevel="0" collapsed="false">
      <c r="A172" s="4" t="n">
        <v>169</v>
      </c>
      <c r="B172" s="4" t="s">
        <v>36</v>
      </c>
      <c r="C172" s="4" t="s">
        <v>319</v>
      </c>
      <c r="D172" s="4" t="s">
        <v>319</v>
      </c>
      <c r="E172" s="4" t="s">
        <v>38</v>
      </c>
      <c r="F172" s="4" t="n">
        <v>420</v>
      </c>
      <c r="G172" s="4" t="s">
        <v>196</v>
      </c>
      <c r="H172" s="4"/>
      <c r="I172" s="4"/>
      <c r="J172" s="4" t="n">
        <v>1</v>
      </c>
      <c r="K172" s="4"/>
      <c r="L172" s="4"/>
      <c r="M172" s="4"/>
      <c r="N172" s="4"/>
      <c r="O172" s="5" t="n">
        <f aca="false">IF(AND(J172="",K172="",M172=""),"",IF(OR(AND(N(K172)&gt;0,L172=""),AND(N(M172)&gt;0,N172="")),"à compléter",N(J172)+N(K172)*N(L172)+N(M172)*N(N172)))</f>
        <v>1</v>
      </c>
      <c r="P172" s="4"/>
      <c r="Q172" s="6"/>
    </row>
    <row r="173" customFormat="false" ht="15" hidden="false" customHeight="false" outlineLevel="0" collapsed="false">
      <c r="A173" s="4" t="n">
        <v>170</v>
      </c>
      <c r="B173" s="4" t="s">
        <v>36</v>
      </c>
      <c r="C173" s="4" t="s">
        <v>320</v>
      </c>
      <c r="D173" s="4" t="s">
        <v>320</v>
      </c>
      <c r="E173" s="4" t="s">
        <v>38</v>
      </c>
      <c r="F173" s="4" t="n">
        <v>1000</v>
      </c>
      <c r="G173" s="4" t="s">
        <v>68</v>
      </c>
      <c r="H173" s="4"/>
      <c r="I173" s="4"/>
      <c r="J173" s="4" t="n">
        <v>4</v>
      </c>
      <c r="K173" s="4"/>
      <c r="L173" s="4"/>
      <c r="M173" s="4"/>
      <c r="N173" s="4"/>
      <c r="O173" s="5" t="n">
        <f aca="false">IF(AND(J173="",K173="",M173=""),"",IF(OR(AND(N(K173)&gt;0,L173=""),AND(N(M173)&gt;0,N173="")),"à compléter",N(J173)+N(K173)*N(L173)+N(M173)*N(N173)))</f>
        <v>4</v>
      </c>
      <c r="P173" s="4"/>
      <c r="Q173" s="6"/>
    </row>
    <row r="174" customFormat="false" ht="15" hidden="false" customHeight="false" outlineLevel="0" collapsed="false">
      <c r="A174" s="4" t="n">
        <v>171</v>
      </c>
      <c r="B174" s="4" t="s">
        <v>36</v>
      </c>
      <c r="C174" s="4" t="s">
        <v>321</v>
      </c>
      <c r="D174" s="4" t="s">
        <v>321</v>
      </c>
      <c r="E174" s="4" t="s">
        <v>38</v>
      </c>
      <c r="F174" s="4" t="n">
        <v>1170</v>
      </c>
      <c r="G174" s="4" t="s">
        <v>66</v>
      </c>
      <c r="H174" s="4"/>
      <c r="I174" s="4"/>
      <c r="J174" s="4" t="n">
        <v>7</v>
      </c>
      <c r="K174" s="4"/>
      <c r="L174" s="4"/>
      <c r="M174" s="4"/>
      <c r="N174" s="4"/>
      <c r="O174" s="5" t="n">
        <f aca="false">IF(AND(J174="",K174="",M174=""),"",IF(OR(AND(N(K174)&gt;0,L174=""),AND(N(M174)&gt;0,N174="")),"à compléter",N(J174)+N(K174)*N(L174)+N(M174)*N(N174)))</f>
        <v>7</v>
      </c>
      <c r="P174" s="4"/>
      <c r="Q174" s="6"/>
    </row>
    <row r="175" customFormat="false" ht="15" hidden="false" customHeight="false" outlineLevel="0" collapsed="false">
      <c r="A175" s="4" t="n">
        <v>172</v>
      </c>
      <c r="B175" s="4" t="s">
        <v>36</v>
      </c>
      <c r="C175" s="4" t="s">
        <v>322</v>
      </c>
      <c r="D175" s="4" t="s">
        <v>322</v>
      </c>
      <c r="E175" s="4" t="s">
        <v>38</v>
      </c>
      <c r="F175" s="4" t="n">
        <v>85</v>
      </c>
      <c r="G175" s="4" t="s">
        <v>282</v>
      </c>
      <c r="H175" s="4"/>
      <c r="I175" s="4"/>
      <c r="J175" s="4" t="n">
        <v>0</v>
      </c>
      <c r="K175" s="4"/>
      <c r="L175" s="4"/>
      <c r="M175" s="4"/>
      <c r="N175" s="4"/>
      <c r="O175" s="5" t="n">
        <f aca="false">IF(AND(J175="",K175="",M175=""),"",IF(OR(AND(N(K175)&gt;0,L175=""),AND(N(M175)&gt;0,N175="")),"à compléter",N(J175)+N(K175)*N(L175)+N(M175)*N(N175)))</f>
        <v>0</v>
      </c>
      <c r="P175" s="4"/>
      <c r="Q175" s="6"/>
    </row>
    <row r="176" customFormat="false" ht="15" hidden="false" customHeight="false" outlineLevel="0" collapsed="false">
      <c r="A176" s="4" t="n">
        <v>173</v>
      </c>
      <c r="B176" s="4" t="s">
        <v>36</v>
      </c>
      <c r="C176" s="4" t="s">
        <v>323</v>
      </c>
      <c r="D176" s="4" t="s">
        <v>323</v>
      </c>
      <c r="E176" s="4" t="s">
        <v>38</v>
      </c>
      <c r="F176" s="4" t="n">
        <v>1000</v>
      </c>
      <c r="G176" s="4" t="s">
        <v>49</v>
      </c>
      <c r="H176" s="4"/>
      <c r="I176" s="4"/>
      <c r="J176" s="4" t="n">
        <v>28</v>
      </c>
      <c r="K176" s="4"/>
      <c r="L176" s="4"/>
      <c r="M176" s="4"/>
      <c r="N176" s="4"/>
      <c r="O176" s="5" t="n">
        <f aca="false">IF(AND(J176="",K176="",M176=""),"",IF(OR(AND(N(K176)&gt;0,L176=""),AND(N(M176)&gt;0,N176="")),"à compléter",N(J176)+N(K176)*N(L176)+N(M176)*N(N176)))</f>
        <v>28</v>
      </c>
      <c r="P176" s="4"/>
      <c r="Q176" s="6"/>
    </row>
    <row r="177" customFormat="false" ht="15" hidden="false" customHeight="false" outlineLevel="0" collapsed="false">
      <c r="A177" s="4" t="n">
        <v>174</v>
      </c>
      <c r="B177" s="4" t="s">
        <v>36</v>
      </c>
      <c r="C177" s="4" t="s">
        <v>324</v>
      </c>
      <c r="D177" s="4" t="s">
        <v>324</v>
      </c>
      <c r="E177" s="4" t="s">
        <v>38</v>
      </c>
      <c r="F177" s="4" t="n">
        <v>500</v>
      </c>
      <c r="G177" s="4" t="s">
        <v>175</v>
      </c>
      <c r="H177" s="4"/>
      <c r="I177" s="4"/>
      <c r="J177" s="4" t="n">
        <v>0</v>
      </c>
      <c r="K177" s="4"/>
      <c r="L177" s="4"/>
      <c r="M177" s="4"/>
      <c r="N177" s="4"/>
      <c r="O177" s="5" t="n">
        <f aca="false">IF(AND(J177="",K177="",M177=""),"",IF(OR(AND(N(K177)&gt;0,L177=""),AND(N(M177)&gt;0,N177="")),"à compléter",N(J177)+N(K177)*N(L177)+N(M177)*N(N177)))</f>
        <v>0</v>
      </c>
      <c r="P177" s="4" t="s">
        <v>325</v>
      </c>
      <c r="Q177" s="6"/>
    </row>
    <row r="178" customFormat="false" ht="15" hidden="false" customHeight="false" outlineLevel="0" collapsed="false">
      <c r="A178" s="4" t="n">
        <v>175</v>
      </c>
      <c r="B178" s="4" t="s">
        <v>36</v>
      </c>
      <c r="C178" s="4" t="s">
        <v>326</v>
      </c>
      <c r="D178" s="4" t="s">
        <v>326</v>
      </c>
      <c r="E178" s="4" t="s">
        <v>38</v>
      </c>
      <c r="F178" s="4" t="n">
        <v>1000</v>
      </c>
      <c r="G178" s="4" t="s">
        <v>68</v>
      </c>
      <c r="H178" s="4" t="s">
        <v>122</v>
      </c>
      <c r="I178" s="4"/>
      <c r="J178" s="4" t="n">
        <v>10</v>
      </c>
      <c r="K178" s="4"/>
      <c r="L178" s="4"/>
      <c r="M178" s="4"/>
      <c r="N178" s="4"/>
      <c r="O178" s="5" t="n">
        <f aca="false">IF(AND(J178="",K178="",M178=""),"",IF(OR(AND(N(K178)&gt;0,L178=""),AND(N(M178)&gt;0,N178="")),"à compléter",N(J178)+N(K178)*N(L178)+N(M178)*N(N178)))</f>
        <v>10</v>
      </c>
      <c r="P178" s="4"/>
      <c r="Q178" s="6"/>
    </row>
    <row r="179" customFormat="false" ht="15" hidden="false" customHeight="false" outlineLevel="0" collapsed="false">
      <c r="A179" s="4" t="n">
        <v>176</v>
      </c>
      <c r="B179" s="4" t="s">
        <v>36</v>
      </c>
      <c r="C179" s="4" t="s">
        <v>327</v>
      </c>
      <c r="D179" s="4" t="s">
        <v>327</v>
      </c>
      <c r="E179" s="4" t="s">
        <v>38</v>
      </c>
      <c r="F179" s="4" t="n">
        <v>500</v>
      </c>
      <c r="G179" s="4" t="s">
        <v>282</v>
      </c>
      <c r="H179" s="4"/>
      <c r="I179" s="4"/>
      <c r="J179" s="4" t="n">
        <v>0</v>
      </c>
      <c r="K179" s="4"/>
      <c r="L179" s="4"/>
      <c r="M179" s="4"/>
      <c r="N179" s="4"/>
      <c r="O179" s="5" t="n">
        <f aca="false">IF(AND(J179="",K179="",M179=""),"",IF(OR(AND(N(K179)&gt;0,L179=""),AND(N(M179)&gt;0,N179="")),"à compléter",N(J179)+N(K179)*N(L179)+N(M179)*N(N179)))</f>
        <v>0</v>
      </c>
      <c r="P179" s="4"/>
      <c r="Q179" s="6"/>
    </row>
    <row r="180" customFormat="false" ht="15" hidden="false" customHeight="false" outlineLevel="0" collapsed="false">
      <c r="A180" s="4" t="n">
        <v>177</v>
      </c>
      <c r="B180" s="4" t="s">
        <v>36</v>
      </c>
      <c r="C180" s="4" t="s">
        <v>328</v>
      </c>
      <c r="D180" s="4" t="s">
        <v>328</v>
      </c>
      <c r="E180" s="4" t="s">
        <v>38</v>
      </c>
      <c r="F180" s="4" t="n">
        <v>5500</v>
      </c>
      <c r="G180" s="4" t="s">
        <v>196</v>
      </c>
      <c r="H180" s="4" t="s">
        <v>136</v>
      </c>
      <c r="I180" s="4"/>
      <c r="J180" s="4" t="n">
        <v>4</v>
      </c>
      <c r="K180" s="4"/>
      <c r="L180" s="4"/>
      <c r="M180" s="4"/>
      <c r="N180" s="4"/>
      <c r="O180" s="5" t="n">
        <f aca="false">IF(AND(J180="",K180="",M180=""),"",IF(OR(AND(N(K180)&gt;0,L180=""),AND(N(M180)&gt;0,N180="")),"à compléter",N(J180)+N(K180)*N(L180)+N(M180)*N(N180)))</f>
        <v>4</v>
      </c>
      <c r="P180" s="4"/>
      <c r="Q180" s="6"/>
    </row>
    <row r="181" customFormat="false" ht="15" hidden="false" customHeight="false" outlineLevel="0" collapsed="false">
      <c r="A181" s="4" t="n">
        <v>178</v>
      </c>
      <c r="B181" s="4" t="s">
        <v>36</v>
      </c>
      <c r="C181" s="4" t="s">
        <v>329</v>
      </c>
      <c r="D181" s="4" t="s">
        <v>329</v>
      </c>
      <c r="E181" s="4" t="s">
        <v>38</v>
      </c>
      <c r="F181" s="4" t="n">
        <v>500</v>
      </c>
      <c r="G181" s="4" t="s">
        <v>175</v>
      </c>
      <c r="H181" s="4" t="s">
        <v>286</v>
      </c>
      <c r="I181" s="4"/>
      <c r="J181" s="4" t="n">
        <v>6</v>
      </c>
      <c r="K181" s="4"/>
      <c r="L181" s="4"/>
      <c r="M181" s="4"/>
      <c r="N181" s="4"/>
      <c r="O181" s="5" t="n">
        <f aca="false">IF(AND(J181="",K181="",M181=""),"",IF(OR(AND(N(K181)&gt;0,L181=""),AND(N(M181)&gt;0,N181="")),"à compléter",N(J181)+N(K181)*N(L181)+N(M181)*N(N181)))</f>
        <v>6</v>
      </c>
      <c r="P181" s="4"/>
      <c r="Q181" s="6"/>
    </row>
    <row r="182" customFormat="false" ht="26.85" hidden="false" customHeight="false" outlineLevel="0" collapsed="false">
      <c r="A182" s="4" t="n">
        <v>179</v>
      </c>
      <c r="B182" s="4" t="s">
        <v>36</v>
      </c>
      <c r="C182" s="4" t="s">
        <v>330</v>
      </c>
      <c r="D182" s="4" t="s">
        <v>330</v>
      </c>
      <c r="E182" s="4" t="s">
        <v>38</v>
      </c>
      <c r="F182" s="4" t="n">
        <v>265</v>
      </c>
      <c r="G182" s="4" t="s">
        <v>41</v>
      </c>
      <c r="H182" s="4" t="s">
        <v>331</v>
      </c>
      <c r="I182" s="4" t="s">
        <v>287</v>
      </c>
      <c r="J182" s="4" t="n">
        <v>22</v>
      </c>
      <c r="K182" s="4"/>
      <c r="L182" s="4"/>
      <c r="M182" s="4"/>
      <c r="N182" s="4"/>
      <c r="O182" s="5" t="n">
        <f aca="false">IF(AND(J182="",K182="",M182=""),"",IF(OR(AND(N(K182)&gt;0,L182=""),AND(N(M182)&gt;0,N182="")),"à compléter",N(J182)+N(K182)*N(L182)+N(M182)*N(N182)))</f>
        <v>22</v>
      </c>
      <c r="P182" s="4" t="s">
        <v>332</v>
      </c>
      <c r="Q182" s="6"/>
    </row>
    <row r="183" customFormat="false" ht="15" hidden="false" customHeight="false" outlineLevel="0" collapsed="false">
      <c r="A183" s="4" t="n">
        <v>180</v>
      </c>
      <c r="B183" s="4" t="s">
        <v>36</v>
      </c>
      <c r="C183" s="4" t="s">
        <v>333</v>
      </c>
      <c r="D183" s="4" t="s">
        <v>333</v>
      </c>
      <c r="E183" s="4" t="s">
        <v>38</v>
      </c>
      <c r="F183" s="4" t="n">
        <v>800</v>
      </c>
      <c r="G183" s="4" t="s">
        <v>116</v>
      </c>
      <c r="H183" s="4"/>
      <c r="I183" s="4"/>
      <c r="J183" s="4" t="n">
        <v>1</v>
      </c>
      <c r="K183" s="4"/>
      <c r="L183" s="4"/>
      <c r="M183" s="4"/>
      <c r="N183" s="4"/>
      <c r="O183" s="5" t="n">
        <f aca="false">IF(AND(J183="",K183="",M183=""),"",IF(OR(AND(N(K183)&gt;0,L183=""),AND(N(M183)&gt;0,N183="")),"à compléter",N(J183)+N(K183)*N(L183)+N(M183)*N(N183)))</f>
        <v>1</v>
      </c>
      <c r="P183" s="4"/>
      <c r="Q183" s="6"/>
    </row>
    <row r="184" customFormat="false" ht="15" hidden="false" customHeight="false" outlineLevel="0" collapsed="false">
      <c r="A184" s="4" t="n">
        <v>181</v>
      </c>
      <c r="B184" s="4" t="s">
        <v>36</v>
      </c>
      <c r="C184" s="4" t="s">
        <v>334</v>
      </c>
      <c r="D184" s="4" t="s">
        <v>334</v>
      </c>
      <c r="E184" s="4" t="s">
        <v>38</v>
      </c>
      <c r="F184" s="4" t="n">
        <v>150</v>
      </c>
      <c r="G184" s="4" t="s">
        <v>282</v>
      </c>
      <c r="H184" s="4"/>
      <c r="I184" s="4"/>
      <c r="J184" s="4" t="n">
        <v>0</v>
      </c>
      <c r="K184" s="4"/>
      <c r="L184" s="4"/>
      <c r="M184" s="4"/>
      <c r="N184" s="4"/>
      <c r="O184" s="5" t="n">
        <f aca="false">IF(AND(J184="",K184="",M184=""),"",IF(OR(AND(N(K184)&gt;0,L184=""),AND(N(M184)&gt;0,N184="")),"à compléter",N(J184)+N(K184)*N(L184)+N(M184)*N(N184)))</f>
        <v>0</v>
      </c>
      <c r="P184" s="4"/>
      <c r="Q184" s="6"/>
    </row>
    <row r="185" customFormat="false" ht="15" hidden="false" customHeight="false" outlineLevel="0" collapsed="false">
      <c r="A185" s="4" t="n">
        <v>182</v>
      </c>
      <c r="B185" s="4" t="s">
        <v>36</v>
      </c>
      <c r="C185" s="4" t="s">
        <v>335</v>
      </c>
      <c r="D185" s="4" t="s">
        <v>335</v>
      </c>
      <c r="E185" s="4" t="s">
        <v>38</v>
      </c>
      <c r="F185" s="4" t="n">
        <v>700</v>
      </c>
      <c r="G185" s="4" t="s">
        <v>43</v>
      </c>
      <c r="H185" s="4"/>
      <c r="I185" s="4"/>
      <c r="J185" s="4" t="n">
        <v>0</v>
      </c>
      <c r="K185" s="4"/>
      <c r="L185" s="4"/>
      <c r="M185" s="4"/>
      <c r="N185" s="4"/>
      <c r="O185" s="5" t="n">
        <f aca="false">IF(AND(J185="",K185="",M185=""),"",IF(OR(AND(N(K185)&gt;0,L185=""),AND(N(M185)&gt;0,N185="")),"à compléter",N(J185)+N(K185)*N(L185)+N(M185)*N(N185)))</f>
        <v>0</v>
      </c>
      <c r="P185" s="4"/>
      <c r="Q185" s="6"/>
    </row>
    <row r="186" customFormat="false" ht="15" hidden="false" customHeight="false" outlineLevel="0" collapsed="false">
      <c r="A186" s="4" t="n">
        <v>183</v>
      </c>
      <c r="B186" s="4" t="s">
        <v>36</v>
      </c>
      <c r="C186" s="4" t="s">
        <v>336</v>
      </c>
      <c r="D186" s="4" t="s">
        <v>336</v>
      </c>
      <c r="E186" s="4" t="s">
        <v>38</v>
      </c>
      <c r="F186" s="4" t="n">
        <v>300</v>
      </c>
      <c r="G186" s="4" t="s">
        <v>77</v>
      </c>
      <c r="H186" s="4"/>
      <c r="I186" s="4"/>
      <c r="J186" s="4" t="n">
        <v>8</v>
      </c>
      <c r="K186" s="4"/>
      <c r="L186" s="4"/>
      <c r="M186" s="4"/>
      <c r="N186" s="4"/>
      <c r="O186" s="5" t="n">
        <f aca="false">IF(AND(J186="",K186="",M186=""),"",IF(OR(AND(N(K186)&gt;0,L186=""),AND(N(M186)&gt;0,N186="")),"à compléter",N(J186)+N(K186)*N(L186)+N(M186)*N(N186)))</f>
        <v>8</v>
      </c>
      <c r="P186" s="4"/>
      <c r="Q186" s="6"/>
    </row>
    <row r="187" customFormat="false" ht="15" hidden="false" customHeight="false" outlineLevel="0" collapsed="false">
      <c r="A187" s="4" t="n">
        <v>184</v>
      </c>
      <c r="B187" s="4" t="s">
        <v>36</v>
      </c>
      <c r="C187" s="4" t="s">
        <v>337</v>
      </c>
      <c r="D187" s="4" t="s">
        <v>337</v>
      </c>
      <c r="E187" s="4" t="s">
        <v>38</v>
      </c>
      <c r="F187" s="4" t="n">
        <v>85</v>
      </c>
      <c r="G187" s="4" t="s">
        <v>83</v>
      </c>
      <c r="H187" s="4"/>
      <c r="I187" s="4"/>
      <c r="J187" s="4" t="n">
        <v>24</v>
      </c>
      <c r="K187" s="4"/>
      <c r="L187" s="4"/>
      <c r="M187" s="4"/>
      <c r="N187" s="4"/>
      <c r="O187" s="5" t="n">
        <f aca="false">IF(AND(J187="",K187="",M187=""),"",IF(OR(AND(N(K187)&gt;0,L187=""),AND(N(M187)&gt;0,N187="")),"à compléter",N(J187)+N(K187)*N(L187)+N(M187)*N(N187)))</f>
        <v>24</v>
      </c>
      <c r="P187" s="4"/>
      <c r="Q187" s="6"/>
    </row>
    <row r="188" customFormat="false" ht="15" hidden="false" customHeight="false" outlineLevel="0" collapsed="false">
      <c r="A188" s="4" t="n">
        <v>185</v>
      </c>
      <c r="B188" s="4" t="s">
        <v>36</v>
      </c>
      <c r="C188" s="4" t="s">
        <v>338</v>
      </c>
      <c r="D188" s="4" t="s">
        <v>338</v>
      </c>
      <c r="E188" s="4" t="s">
        <v>38</v>
      </c>
      <c r="F188" s="4" t="n">
        <v>70</v>
      </c>
      <c r="G188" s="4" t="s">
        <v>339</v>
      </c>
      <c r="H188" s="4"/>
      <c r="I188" s="4"/>
      <c r="J188" s="4" t="n">
        <v>214</v>
      </c>
      <c r="K188" s="4"/>
      <c r="L188" s="4"/>
      <c r="M188" s="4"/>
      <c r="N188" s="4"/>
      <c r="O188" s="5" t="n">
        <f aca="false">IF(AND(J188="",K188="",M188=""),"",IF(OR(AND(N(K188)&gt;0,L188=""),AND(N(M188)&gt;0,N188="")),"à compléter",N(J188)+N(K188)*N(L188)+N(M188)*N(N188)))</f>
        <v>214</v>
      </c>
      <c r="P188" s="4"/>
      <c r="Q188" s="6"/>
    </row>
    <row r="189" customFormat="false" ht="15" hidden="false" customHeight="false" outlineLevel="0" collapsed="false">
      <c r="A189" s="4" t="n">
        <v>186</v>
      </c>
      <c r="B189" s="4" t="s">
        <v>36</v>
      </c>
      <c r="C189" s="4" t="s">
        <v>340</v>
      </c>
      <c r="D189" s="4" t="s">
        <v>340</v>
      </c>
      <c r="E189" s="4" t="s">
        <v>38</v>
      </c>
      <c r="F189" s="4" t="n">
        <v>135</v>
      </c>
      <c r="G189" s="4" t="s">
        <v>204</v>
      </c>
      <c r="H189" s="4"/>
      <c r="I189" s="4"/>
      <c r="J189" s="4" t="n">
        <v>5</v>
      </c>
      <c r="K189" s="4"/>
      <c r="L189" s="4"/>
      <c r="M189" s="4"/>
      <c r="N189" s="4"/>
      <c r="O189" s="5" t="n">
        <f aca="false">IF(AND(J189="",K189="",M189=""),"",IF(OR(AND(N(K189)&gt;0,L189=""),AND(N(M189)&gt;0,N189="")),"à compléter",N(J189)+N(K189)*N(L189)+N(M189)*N(N189)))</f>
        <v>5</v>
      </c>
      <c r="P189" s="4"/>
      <c r="Q189" s="6"/>
    </row>
    <row r="190" customFormat="false" ht="15" hidden="false" customHeight="false" outlineLevel="0" collapsed="false">
      <c r="A190" s="4" t="n">
        <v>187</v>
      </c>
      <c r="B190" s="4" t="s">
        <v>36</v>
      </c>
      <c r="C190" s="4" t="s">
        <v>341</v>
      </c>
      <c r="D190" s="4" t="s">
        <v>341</v>
      </c>
      <c r="E190" s="4" t="s">
        <v>38</v>
      </c>
      <c r="F190" s="4" t="n">
        <v>435</v>
      </c>
      <c r="G190" s="4" t="s">
        <v>342</v>
      </c>
      <c r="H190" s="4"/>
      <c r="I190" s="4"/>
      <c r="J190" s="4" t="n">
        <v>67</v>
      </c>
      <c r="K190" s="4"/>
      <c r="L190" s="4"/>
      <c r="M190" s="4"/>
      <c r="N190" s="4"/>
      <c r="O190" s="5" t="n">
        <f aca="false">IF(AND(J190="",K190="",M190=""),"",IF(OR(AND(N(K190)&gt;0,L190=""),AND(N(M190)&gt;0,N190="")),"à compléter",N(J190)+N(K190)*N(L190)+N(M190)*N(N190)))</f>
        <v>67</v>
      </c>
      <c r="P190" s="4"/>
      <c r="Q190" s="6"/>
    </row>
    <row r="191" customFormat="false" ht="15" hidden="false" customHeight="false" outlineLevel="0" collapsed="false">
      <c r="A191" s="4" t="n">
        <v>188</v>
      </c>
      <c r="B191" s="4" t="s">
        <v>36</v>
      </c>
      <c r="C191" s="4" t="s">
        <v>343</v>
      </c>
      <c r="D191" s="4" t="s">
        <v>343</v>
      </c>
      <c r="E191" s="4" t="s">
        <v>38</v>
      </c>
      <c r="F191" s="4" t="n">
        <v>700</v>
      </c>
      <c r="G191" s="4" t="s">
        <v>344</v>
      </c>
      <c r="H191" s="4"/>
      <c r="I191" s="4"/>
      <c r="J191" s="4" t="n">
        <v>31</v>
      </c>
      <c r="K191" s="4"/>
      <c r="L191" s="4"/>
      <c r="M191" s="4"/>
      <c r="N191" s="4"/>
      <c r="O191" s="5" t="n">
        <f aca="false">IF(AND(J191="",K191="",M191=""),"",IF(OR(AND(N(K191)&gt;0,L191=""),AND(N(M191)&gt;0,N191="")),"à compléter",N(J191)+N(K191)*N(L191)+N(M191)*N(N191)))</f>
        <v>31</v>
      </c>
      <c r="P191" s="4"/>
      <c r="Q191" s="6"/>
    </row>
    <row r="192" customFormat="false" ht="15" hidden="false" customHeight="false" outlineLevel="0" collapsed="false">
      <c r="A192" s="4" t="n">
        <v>189</v>
      </c>
      <c r="B192" s="4" t="s">
        <v>36</v>
      </c>
      <c r="C192" s="4" t="s">
        <v>345</v>
      </c>
      <c r="D192" s="4" t="s">
        <v>345</v>
      </c>
      <c r="E192" s="4" t="s">
        <v>38</v>
      </c>
      <c r="F192" s="4" t="n">
        <v>600</v>
      </c>
      <c r="G192" s="4" t="s">
        <v>126</v>
      </c>
      <c r="H192" s="4"/>
      <c r="I192" s="4"/>
      <c r="J192" s="4" t="n">
        <v>29</v>
      </c>
      <c r="K192" s="4"/>
      <c r="L192" s="4"/>
      <c r="M192" s="4"/>
      <c r="N192" s="4"/>
      <c r="O192" s="5" t="n">
        <f aca="false">IF(AND(J192="",K192="",M192=""),"",IF(OR(AND(N(K192)&gt;0,L192=""),AND(N(M192)&gt;0,N192="")),"à compléter",N(J192)+N(K192)*N(L192)+N(M192)*N(N192)))</f>
        <v>29</v>
      </c>
      <c r="P192" s="4"/>
      <c r="Q192" s="6"/>
    </row>
    <row r="193" customFormat="false" ht="15" hidden="false" customHeight="false" outlineLevel="0" collapsed="false">
      <c r="A193" s="4" t="n">
        <v>190</v>
      </c>
      <c r="B193" s="4" t="s">
        <v>36</v>
      </c>
      <c r="C193" s="4" t="s">
        <v>346</v>
      </c>
      <c r="D193" s="4" t="s">
        <v>346</v>
      </c>
      <c r="E193" s="4" t="s">
        <v>38</v>
      </c>
      <c r="F193" s="4" t="n">
        <v>800</v>
      </c>
      <c r="G193" s="4" t="s">
        <v>196</v>
      </c>
      <c r="H193" s="4"/>
      <c r="I193" s="4"/>
      <c r="J193" s="4" t="n">
        <v>1</v>
      </c>
      <c r="K193" s="4"/>
      <c r="L193" s="4"/>
      <c r="M193" s="4"/>
      <c r="N193" s="4"/>
      <c r="O193" s="5" t="n">
        <f aca="false">IF(AND(J193="",K193="",M193=""),"",IF(OR(AND(N(K193)&gt;0,L193=""),AND(N(M193)&gt;0,N193="")),"à compléter",N(J193)+N(K193)*N(L193)+N(M193)*N(N193)))</f>
        <v>1</v>
      </c>
      <c r="P193" s="4"/>
      <c r="Q193" s="6"/>
    </row>
    <row r="194" customFormat="false" ht="15" hidden="false" customHeight="false" outlineLevel="0" collapsed="false">
      <c r="A194" s="4" t="n">
        <v>191</v>
      </c>
      <c r="B194" s="4" t="s">
        <v>36</v>
      </c>
      <c r="C194" s="4" t="s">
        <v>347</v>
      </c>
      <c r="D194" s="4" t="s">
        <v>347</v>
      </c>
      <c r="E194" s="4" t="s">
        <v>38</v>
      </c>
      <c r="F194" s="4" t="n">
        <v>600</v>
      </c>
      <c r="G194" s="4" t="s">
        <v>348</v>
      </c>
      <c r="H194" s="4"/>
      <c r="I194" s="4"/>
      <c r="J194" s="4" t="n">
        <v>8</v>
      </c>
      <c r="K194" s="4"/>
      <c r="L194" s="4"/>
      <c r="M194" s="4"/>
      <c r="N194" s="4"/>
      <c r="O194" s="5" t="n">
        <f aca="false">IF(AND(J194="",K194="",M194=""),"",IF(OR(AND(N(K194)&gt;0,L194=""),AND(N(M194)&gt;0,N194="")),"à compléter",N(J194)+N(K194)*N(L194)+N(M194)*N(N194)))</f>
        <v>8</v>
      </c>
      <c r="P194" s="4"/>
      <c r="Q194" s="6"/>
    </row>
    <row r="195" customFormat="false" ht="26.85" hidden="false" customHeight="false" outlineLevel="0" collapsed="false">
      <c r="A195" s="4" t="n">
        <v>192</v>
      </c>
      <c r="B195" s="7" t="s">
        <v>59</v>
      </c>
      <c r="C195" s="4" t="s">
        <v>349</v>
      </c>
      <c r="D195" s="7" t="s">
        <v>350</v>
      </c>
      <c r="E195" s="4" t="s">
        <v>38</v>
      </c>
      <c r="F195" s="4" t="n">
        <v>1700</v>
      </c>
      <c r="G195" s="4" t="s">
        <v>286</v>
      </c>
      <c r="H195" s="4"/>
      <c r="I195" s="4"/>
      <c r="J195" s="4" t="n">
        <v>6</v>
      </c>
      <c r="K195" s="4"/>
      <c r="L195" s="4"/>
      <c r="M195" s="4"/>
      <c r="N195" s="4"/>
      <c r="O195" s="5" t="n">
        <f aca="false">IF(AND(J195="",K195="",M195=""),"",IF(OR(AND(N(K195)&gt;0,L195=""),AND(N(M195)&gt;0,N195="")),"à compléter",N(J195)+N(K195)*N(L195)+N(M195)*N(N195)))</f>
        <v>6</v>
      </c>
      <c r="P195" s="4"/>
      <c r="Q195" s="6"/>
    </row>
    <row r="196" customFormat="false" ht="39.55" hidden="false" customHeight="false" outlineLevel="0" collapsed="false">
      <c r="A196" s="4"/>
      <c r="B196" s="7" t="s">
        <v>157</v>
      </c>
      <c r="C196" s="4" t="s">
        <v>351</v>
      </c>
      <c r="D196" s="7" t="s">
        <v>352</v>
      </c>
      <c r="E196" s="4" t="s">
        <v>38</v>
      </c>
      <c r="F196" s="6"/>
      <c r="G196" s="4"/>
      <c r="H196" s="4"/>
      <c r="I196" s="4"/>
      <c r="J196" s="4" t="n">
        <v>0</v>
      </c>
      <c r="K196" s="4"/>
      <c r="L196" s="4"/>
      <c r="M196" s="4"/>
      <c r="N196" s="4"/>
      <c r="O196" s="5" t="n">
        <f aca="false">IF(AND(J196="",K196="",M196=""),"",IF(OR(AND(N(K196)&gt;0,L196=""),AND(N(M196)&gt;0,N196="")),"à compléter",N(J196)+N(K196)*N(L196)+N(M196)*N(N196)))</f>
        <v>0</v>
      </c>
      <c r="P196" s="4" t="s">
        <v>353</v>
      </c>
      <c r="Q196" s="4"/>
    </row>
    <row r="197" customFormat="false" ht="15" hidden="false" customHeight="false" outlineLevel="0" collapsed="false">
      <c r="A197" s="4" t="n">
        <v>193</v>
      </c>
      <c r="B197" s="4" t="s">
        <v>36</v>
      </c>
      <c r="C197" s="4" t="s">
        <v>354</v>
      </c>
      <c r="D197" s="4" t="s">
        <v>354</v>
      </c>
      <c r="E197" s="4" t="s">
        <v>38</v>
      </c>
      <c r="F197" s="4" t="n">
        <v>100</v>
      </c>
      <c r="G197" s="4" t="s">
        <v>175</v>
      </c>
      <c r="H197" s="4" t="s">
        <v>355</v>
      </c>
      <c r="I197" s="4"/>
      <c r="J197" s="4" t="n">
        <v>180</v>
      </c>
      <c r="K197" s="4"/>
      <c r="L197" s="4"/>
      <c r="M197" s="4"/>
      <c r="N197" s="4"/>
      <c r="O197" s="5" t="n">
        <f aca="false">IF(AND(J197="",K197="",M197=""),"",IF(OR(AND(N(K197)&gt;0,L197=""),AND(N(M197)&gt;0,N197="")),"à compléter",N(J197)+N(K197)*N(L197)+N(M197)*N(N197)))</f>
        <v>180</v>
      </c>
      <c r="P197" s="4"/>
      <c r="Q197" s="6"/>
    </row>
    <row r="198" customFormat="false" ht="15" hidden="false" customHeight="false" outlineLevel="0" collapsed="false">
      <c r="A198" s="4" t="n">
        <v>194</v>
      </c>
      <c r="B198" s="4" t="s">
        <v>36</v>
      </c>
      <c r="C198" s="4" t="s">
        <v>356</v>
      </c>
      <c r="D198" s="4" t="s">
        <v>356</v>
      </c>
      <c r="E198" s="4" t="s">
        <v>38</v>
      </c>
      <c r="F198" s="4" t="n">
        <v>400</v>
      </c>
      <c r="G198" s="4" t="s">
        <v>156</v>
      </c>
      <c r="H198" s="4"/>
      <c r="I198" s="4"/>
      <c r="J198" s="4" t="n">
        <v>10</v>
      </c>
      <c r="K198" s="4"/>
      <c r="L198" s="4"/>
      <c r="M198" s="4"/>
      <c r="N198" s="4"/>
      <c r="O198" s="5" t="n">
        <f aca="false">IF(AND(J198="",K198="",M198=""),"",IF(OR(AND(N(K198)&gt;0,L198=""),AND(N(M198)&gt;0,N198="")),"à compléter",N(J198)+N(K198)*N(L198)+N(M198)*N(N198)))</f>
        <v>10</v>
      </c>
      <c r="P198" s="4"/>
      <c r="Q198" s="6"/>
    </row>
    <row r="199" customFormat="false" ht="15" hidden="false" customHeight="false" outlineLevel="0" collapsed="false">
      <c r="A199" s="4" t="n">
        <v>195</v>
      </c>
      <c r="B199" s="4" t="s">
        <v>36</v>
      </c>
      <c r="C199" s="4" t="s">
        <v>357</v>
      </c>
      <c r="D199" s="4" t="s">
        <v>357</v>
      </c>
      <c r="E199" s="4" t="s">
        <v>38</v>
      </c>
      <c r="F199" s="4" t="n">
        <v>250</v>
      </c>
      <c r="G199" s="4" t="s">
        <v>358</v>
      </c>
      <c r="H199" s="4" t="s">
        <v>188</v>
      </c>
      <c r="I199" s="4" t="s">
        <v>359</v>
      </c>
      <c r="J199" s="4" t="n">
        <v>51</v>
      </c>
      <c r="K199" s="4"/>
      <c r="L199" s="4"/>
      <c r="M199" s="4"/>
      <c r="N199" s="4"/>
      <c r="O199" s="5" t="n">
        <f aca="false">IF(AND(J199="",K199="",M199=""),"",IF(OR(AND(N(K199)&gt;0,L199=""),AND(N(M199)&gt;0,N199="")),"à compléter",N(J199)+N(K199)*N(L199)+N(M199)*N(N199)))</f>
        <v>51</v>
      </c>
      <c r="P199" s="4" t="s">
        <v>360</v>
      </c>
      <c r="Q199" s="6"/>
    </row>
    <row r="200" customFormat="false" ht="15" hidden="false" customHeight="false" outlineLevel="0" collapsed="false">
      <c r="A200" s="4" t="n">
        <v>196</v>
      </c>
      <c r="B200" s="4" t="s">
        <v>36</v>
      </c>
      <c r="C200" s="4" t="s">
        <v>361</v>
      </c>
      <c r="D200" s="4" t="s">
        <v>361</v>
      </c>
      <c r="E200" s="4" t="s">
        <v>38</v>
      </c>
      <c r="F200" s="4" t="n">
        <v>800</v>
      </c>
      <c r="G200" s="4" t="s">
        <v>196</v>
      </c>
      <c r="H200" s="4"/>
      <c r="I200" s="4"/>
      <c r="J200" s="4" t="n">
        <v>1</v>
      </c>
      <c r="K200" s="4"/>
      <c r="L200" s="4"/>
      <c r="M200" s="4"/>
      <c r="N200" s="4"/>
      <c r="O200" s="5" t="n">
        <f aca="false">IF(AND(J200="",K200="",M200=""),"",IF(OR(AND(N(K200)&gt;0,L200=""),AND(N(M200)&gt;0,N200="")),"à compléter",N(J200)+N(K200)*N(L200)+N(M200)*N(N200)))</f>
        <v>1</v>
      </c>
      <c r="P200" s="4"/>
      <c r="Q200" s="6"/>
    </row>
    <row r="201" customFormat="false" ht="15" hidden="false" customHeight="false" outlineLevel="0" collapsed="false">
      <c r="A201" s="4" t="n">
        <v>197</v>
      </c>
      <c r="B201" s="4" t="s">
        <v>36</v>
      </c>
      <c r="C201" s="4" t="s">
        <v>362</v>
      </c>
      <c r="D201" s="4" t="s">
        <v>362</v>
      </c>
      <c r="E201" s="4" t="s">
        <v>38</v>
      </c>
      <c r="F201" s="4" t="n">
        <v>5500</v>
      </c>
      <c r="G201" s="4" t="s">
        <v>68</v>
      </c>
      <c r="H201" s="4"/>
      <c r="I201" s="4"/>
      <c r="J201" s="4" t="n">
        <v>4</v>
      </c>
      <c r="K201" s="4"/>
      <c r="L201" s="4"/>
      <c r="M201" s="4"/>
      <c r="N201" s="4"/>
      <c r="O201" s="5" t="n">
        <f aca="false">IF(AND(J201="",K201="",M201=""),"",IF(OR(AND(N(K201)&gt;0,L201=""),AND(N(M201)&gt;0,N201="")),"à compléter",N(J201)+N(K201)*N(L201)+N(M201)*N(N201)))</f>
        <v>4</v>
      </c>
      <c r="P201" s="4"/>
      <c r="Q201" s="6"/>
    </row>
    <row r="202" customFormat="false" ht="15" hidden="false" customHeight="false" outlineLevel="0" collapsed="false">
      <c r="A202" s="4" t="n">
        <v>198</v>
      </c>
      <c r="B202" s="4" t="s">
        <v>36</v>
      </c>
      <c r="C202" s="4" t="s">
        <v>363</v>
      </c>
      <c r="D202" s="4" t="s">
        <v>363</v>
      </c>
      <c r="E202" s="4" t="s">
        <v>38</v>
      </c>
      <c r="F202" s="4" t="n">
        <v>6000</v>
      </c>
      <c r="G202" s="4" t="s">
        <v>358</v>
      </c>
      <c r="H202" s="4"/>
      <c r="I202" s="4"/>
      <c r="J202" s="4" t="n">
        <v>11</v>
      </c>
      <c r="K202" s="4"/>
      <c r="L202" s="4"/>
      <c r="M202" s="4"/>
      <c r="N202" s="4"/>
      <c r="O202" s="5" t="n">
        <f aca="false">IF(AND(J202="",K202="",M202=""),"",IF(OR(AND(N(K202)&gt;0,L202=""),AND(N(M202)&gt;0,N202="")),"à compléter",N(J202)+N(K202)*N(L202)+N(M202)*N(N202)))</f>
        <v>11</v>
      </c>
      <c r="P202" s="4"/>
      <c r="Q202" s="6"/>
    </row>
    <row r="203" customFormat="false" ht="15" hidden="false" customHeight="false" outlineLevel="0" collapsed="false">
      <c r="A203" s="4" t="n">
        <v>199</v>
      </c>
      <c r="B203" s="4" t="s">
        <v>36</v>
      </c>
      <c r="C203" s="4" t="s">
        <v>364</v>
      </c>
      <c r="D203" s="4" t="s">
        <v>364</v>
      </c>
      <c r="E203" s="4" t="s">
        <v>38</v>
      </c>
      <c r="F203" s="4" t="n">
        <v>4000</v>
      </c>
      <c r="G203" s="4" t="s">
        <v>47</v>
      </c>
      <c r="H203" s="4"/>
      <c r="I203" s="4"/>
      <c r="J203" s="4" t="n">
        <v>5</v>
      </c>
      <c r="K203" s="4"/>
      <c r="L203" s="4"/>
      <c r="M203" s="4"/>
      <c r="N203" s="4"/>
      <c r="O203" s="5" t="n">
        <f aca="false">IF(AND(J203="",K203="",M203=""),"",IF(OR(AND(N(K203)&gt;0,L203=""),AND(N(M203)&gt;0,N203="")),"à compléter",N(J203)+N(K203)*N(L203)+N(M203)*N(N203)))</f>
        <v>5</v>
      </c>
      <c r="P203" s="4"/>
      <c r="Q203" s="6"/>
    </row>
    <row r="204" customFormat="false" ht="15" hidden="false" customHeight="false" outlineLevel="0" collapsed="false">
      <c r="A204" s="4" t="n">
        <v>200</v>
      </c>
      <c r="B204" s="4" t="s">
        <v>36</v>
      </c>
      <c r="C204" s="4" t="s">
        <v>365</v>
      </c>
      <c r="D204" s="4" t="s">
        <v>365</v>
      </c>
      <c r="E204" s="4" t="s">
        <v>38</v>
      </c>
      <c r="F204" s="4" t="n">
        <v>2000</v>
      </c>
      <c r="G204" s="4" t="s">
        <v>70</v>
      </c>
      <c r="H204" s="4"/>
      <c r="I204" s="4"/>
      <c r="J204" s="4" t="n">
        <v>60</v>
      </c>
      <c r="K204" s="4"/>
      <c r="L204" s="4"/>
      <c r="M204" s="4"/>
      <c r="N204" s="4"/>
      <c r="O204" s="5" t="n">
        <f aca="false">IF(AND(J204="",K204="",M204=""),"",IF(OR(AND(N(K204)&gt;0,L204=""),AND(N(M204)&gt;0,N204="")),"à compléter",N(J204)+N(K204)*N(L204)+N(M204)*N(N204)))</f>
        <v>60</v>
      </c>
      <c r="P204" s="4"/>
      <c r="Q204" s="6"/>
    </row>
    <row r="205" customFormat="false" ht="15" hidden="false" customHeight="false" outlineLevel="0" collapsed="false">
      <c r="A205" s="4" t="n">
        <v>201</v>
      </c>
      <c r="B205" s="4" t="s">
        <v>36</v>
      </c>
      <c r="C205" s="4" t="s">
        <v>366</v>
      </c>
      <c r="D205" s="4" t="s">
        <v>366</v>
      </c>
      <c r="E205" s="4" t="s">
        <v>38</v>
      </c>
      <c r="F205" s="4" t="n">
        <v>2000</v>
      </c>
      <c r="G205" s="4" t="s">
        <v>68</v>
      </c>
      <c r="H205" s="4" t="s">
        <v>367</v>
      </c>
      <c r="I205" s="4"/>
      <c r="J205" s="4" t="n">
        <v>52</v>
      </c>
      <c r="K205" s="4"/>
      <c r="L205" s="4"/>
      <c r="M205" s="4"/>
      <c r="N205" s="4"/>
      <c r="O205" s="5" t="n">
        <f aca="false">IF(AND(J205="",K205="",M205=""),"",IF(OR(AND(N(K205)&gt;0,L205=""),AND(N(M205)&gt;0,N205="")),"à compléter",N(J205)+N(K205)*N(L205)+N(M205)*N(N205)))</f>
        <v>52</v>
      </c>
      <c r="P205" s="4"/>
      <c r="Q205" s="6"/>
    </row>
    <row r="206" customFormat="false" ht="15" hidden="false" customHeight="false" outlineLevel="0" collapsed="false">
      <c r="A206" s="4"/>
      <c r="B206" s="7" t="s">
        <v>280</v>
      </c>
      <c r="C206" s="4"/>
      <c r="D206" s="7" t="s">
        <v>368</v>
      </c>
      <c r="E206" s="4" t="s">
        <v>38</v>
      </c>
      <c r="F206" s="4" t="n">
        <v>1500</v>
      </c>
      <c r="G206" s="4"/>
      <c r="H206" s="4" t="s">
        <v>122</v>
      </c>
      <c r="I206" s="4"/>
      <c r="J206" s="4" t="n">
        <v>6</v>
      </c>
      <c r="K206" s="4"/>
      <c r="L206" s="4"/>
      <c r="M206" s="4"/>
      <c r="N206" s="4"/>
      <c r="O206" s="5" t="n">
        <f aca="false">IF(AND(J206="",K206="",M206=""),"",IF(OR(AND(N(K206)&gt;0,L206=""),AND(N(M206)&gt;0,N206="")),"à compléter",N(J206)+N(K206)*N(L206)+N(M206)*N(N206)))</f>
        <v>6</v>
      </c>
      <c r="P206" s="4"/>
      <c r="Q206" s="4" t="n">
        <v>1500</v>
      </c>
    </row>
    <row r="207" customFormat="false" ht="15" hidden="false" customHeight="false" outlineLevel="0" collapsed="false">
      <c r="A207" s="4"/>
      <c r="B207" s="7" t="s">
        <v>280</v>
      </c>
      <c r="C207" s="4"/>
      <c r="D207" s="7" t="s">
        <v>369</v>
      </c>
      <c r="E207" s="4" t="s">
        <v>38</v>
      </c>
      <c r="F207" s="4" t="n">
        <v>500</v>
      </c>
      <c r="G207" s="4"/>
      <c r="H207" s="4" t="s">
        <v>83</v>
      </c>
      <c r="I207" s="4"/>
      <c r="J207" s="4" t="n">
        <v>24</v>
      </c>
      <c r="K207" s="4"/>
      <c r="L207" s="4"/>
      <c r="M207" s="4"/>
      <c r="N207" s="4"/>
      <c r="O207" s="5" t="n">
        <f aca="false">IF(AND(J207="",K207="",M207=""),"",IF(OR(AND(N(K207)&gt;0,L207=""),AND(N(M207)&gt;0,N207="")),"à compléter",N(J207)+N(K207)*N(L207)+N(M207)*N(N207)))</f>
        <v>24</v>
      </c>
      <c r="P207" s="4"/>
      <c r="Q207" s="4" t="n">
        <v>500</v>
      </c>
    </row>
    <row r="208" customFormat="false" ht="15" hidden="false" customHeight="false" outlineLevel="0" collapsed="false">
      <c r="A208" s="4"/>
      <c r="B208" s="7" t="s">
        <v>280</v>
      </c>
      <c r="C208" s="4"/>
      <c r="D208" s="7" t="s">
        <v>370</v>
      </c>
      <c r="E208" s="4" t="s">
        <v>38</v>
      </c>
      <c r="F208" s="4" t="n">
        <v>2500</v>
      </c>
      <c r="G208" s="4" t="s">
        <v>43</v>
      </c>
      <c r="H208" s="4" t="s">
        <v>103</v>
      </c>
      <c r="I208" s="4"/>
      <c r="J208" s="4" t="n">
        <v>12</v>
      </c>
      <c r="K208" s="4"/>
      <c r="L208" s="4"/>
      <c r="M208" s="4"/>
      <c r="N208" s="4"/>
      <c r="O208" s="5" t="n">
        <f aca="false">IF(AND(J208="",K208="",M208=""),"",IF(OR(AND(N(K208)&gt;0,L208=""),AND(N(M208)&gt;0,N208="")),"à compléter",N(J208)+N(K208)*N(L208)+N(M208)*N(N208)))</f>
        <v>12</v>
      </c>
      <c r="P208" s="4"/>
      <c r="Q208" s="4" t="n">
        <v>2500</v>
      </c>
    </row>
    <row r="209" customFormat="false" ht="15" hidden="false" customHeight="false" outlineLevel="0" collapsed="false">
      <c r="A209" s="4"/>
      <c r="B209" s="7" t="s">
        <v>280</v>
      </c>
      <c r="C209" s="4"/>
      <c r="D209" s="7" t="s">
        <v>371</v>
      </c>
      <c r="E209" s="4" t="s">
        <v>38</v>
      </c>
      <c r="F209" s="6"/>
      <c r="G209" s="4" t="s">
        <v>43</v>
      </c>
      <c r="H209" s="4" t="s">
        <v>156</v>
      </c>
      <c r="I209" s="4"/>
      <c r="J209" s="4" t="n">
        <v>10</v>
      </c>
      <c r="K209" s="4"/>
      <c r="L209" s="4"/>
      <c r="M209" s="4"/>
      <c r="N209" s="4"/>
      <c r="O209" s="5" t="n">
        <f aca="false">IF(AND(J209="",K209="",M209=""),"",IF(OR(AND(N(K209)&gt;0,L209=""),AND(N(M209)&gt;0,N209="")),"à compléter",N(J209)+N(K209)*N(L209)+N(M209)*N(N209)))</f>
        <v>10</v>
      </c>
      <c r="P209" s="4"/>
      <c r="Q209" s="6"/>
    </row>
    <row r="210" customFormat="false" ht="15" hidden="false" customHeight="false" outlineLevel="0" collapsed="false">
      <c r="A210" s="4"/>
      <c r="B210" s="7" t="s">
        <v>280</v>
      </c>
      <c r="C210" s="4"/>
      <c r="D210" s="7" t="s">
        <v>372</v>
      </c>
      <c r="E210" s="4" t="s">
        <v>38</v>
      </c>
      <c r="F210" s="4" t="n">
        <v>6000</v>
      </c>
      <c r="G210" s="4" t="s">
        <v>116</v>
      </c>
      <c r="H210" s="4"/>
      <c r="I210" s="4"/>
      <c r="J210" s="4" t="n">
        <v>1</v>
      </c>
      <c r="K210" s="4"/>
      <c r="L210" s="4"/>
      <c r="M210" s="4"/>
      <c r="N210" s="4"/>
      <c r="O210" s="5" t="n">
        <f aca="false">IF(AND(J210="",K210="",M210=""),"",IF(OR(AND(N(K210)&gt;0,L210=""),AND(N(M210)&gt;0,N210="")),"à compléter",N(J210)+N(K210)*N(L210)+N(M210)*N(N210)))</f>
        <v>1</v>
      </c>
      <c r="P210" s="4"/>
      <c r="Q210" s="4" t="n">
        <v>6000</v>
      </c>
    </row>
    <row r="211" customFormat="false" ht="15" hidden="false" customHeight="false" outlineLevel="0" collapsed="false">
      <c r="A211" s="4"/>
      <c r="B211" s="7" t="s">
        <v>280</v>
      </c>
      <c r="C211" s="4"/>
      <c r="D211" s="7" t="s">
        <v>373</v>
      </c>
      <c r="E211" s="4" t="s">
        <v>38</v>
      </c>
      <c r="F211" s="4" t="n">
        <v>2000</v>
      </c>
      <c r="G211" s="4" t="s">
        <v>47</v>
      </c>
      <c r="H211" s="4"/>
      <c r="I211" s="4"/>
      <c r="J211" s="4" t="n">
        <v>5</v>
      </c>
      <c r="K211" s="4"/>
      <c r="L211" s="4"/>
      <c r="M211" s="4"/>
      <c r="N211" s="4"/>
      <c r="O211" s="5" t="n">
        <f aca="false">IF(AND(J211="",K211="",M211=""),"",IF(OR(AND(N(K211)&gt;0,L211=""),AND(N(M211)&gt;0,N211="")),"à compléter",N(J211)+N(K211)*N(L211)+N(M211)*N(N211)))</f>
        <v>5</v>
      </c>
      <c r="P211" s="4"/>
      <c r="Q211" s="4" t="n">
        <v>2000</v>
      </c>
    </row>
    <row r="212" customFormat="false" ht="15" hidden="false" customHeight="false" outlineLevel="0" collapsed="false">
      <c r="A212" s="4"/>
      <c r="B212" s="7" t="s">
        <v>280</v>
      </c>
      <c r="C212" s="4"/>
      <c r="D212" s="7" t="s">
        <v>374</v>
      </c>
      <c r="E212" s="4" t="s">
        <v>38</v>
      </c>
      <c r="F212" s="4" t="n">
        <v>500</v>
      </c>
      <c r="G212" s="4" t="s">
        <v>171</v>
      </c>
      <c r="H212" s="4"/>
      <c r="I212" s="4"/>
      <c r="J212" s="4" t="n">
        <v>17</v>
      </c>
      <c r="K212" s="4"/>
      <c r="L212" s="4"/>
      <c r="M212" s="4"/>
      <c r="N212" s="4"/>
      <c r="O212" s="5" t="n">
        <f aca="false">IF(AND(J212="",K212="",M212=""),"",IF(OR(AND(N(K212)&gt;0,L212=""),AND(N(M212)&gt;0,N212="")),"à compléter",N(J212)+N(K212)*N(L212)+N(M212)*N(N212)))</f>
        <v>17</v>
      </c>
      <c r="P212" s="4"/>
      <c r="Q212" s="4" t="n">
        <v>500</v>
      </c>
    </row>
    <row r="213" customFormat="false" ht="15" hidden="false" customHeight="false" outlineLevel="0" collapsed="false">
      <c r="A213" s="4"/>
      <c r="B213" s="7" t="s">
        <v>280</v>
      </c>
      <c r="C213" s="4"/>
      <c r="D213" s="7" t="s">
        <v>375</v>
      </c>
      <c r="E213" s="4" t="s">
        <v>38</v>
      </c>
      <c r="F213" s="4" t="n">
        <v>2500</v>
      </c>
      <c r="G213" s="4" t="s">
        <v>136</v>
      </c>
      <c r="H213" s="4"/>
      <c r="I213" s="4"/>
      <c r="J213" s="4" t="n">
        <v>3</v>
      </c>
      <c r="K213" s="4"/>
      <c r="L213" s="4"/>
      <c r="M213" s="4"/>
      <c r="N213" s="4"/>
      <c r="O213" s="5" t="n">
        <f aca="false">IF(AND(J213="",K213="",M213=""),"",IF(OR(AND(N(K213)&gt;0,L213=""),AND(N(M213)&gt;0,N213="")),"à compléter",N(J213)+N(K213)*N(L213)+N(M213)*N(N213)))</f>
        <v>3</v>
      </c>
      <c r="P213" s="4"/>
      <c r="Q213" s="4" t="n">
        <v>2500</v>
      </c>
    </row>
    <row r="214" customFormat="false" ht="15" hidden="false" customHeight="false" outlineLevel="0" collapsed="false">
      <c r="A214" s="4"/>
      <c r="B214" s="7" t="s">
        <v>280</v>
      </c>
      <c r="C214" s="4"/>
      <c r="D214" s="7" t="s">
        <v>376</v>
      </c>
      <c r="E214" s="4" t="s">
        <v>38</v>
      </c>
      <c r="F214" s="4" t="n">
        <v>2500</v>
      </c>
      <c r="G214" s="4" t="s">
        <v>129</v>
      </c>
      <c r="H214" s="4"/>
      <c r="I214" s="4"/>
      <c r="J214" s="4" t="n">
        <v>2</v>
      </c>
      <c r="K214" s="4"/>
      <c r="L214" s="4"/>
      <c r="M214" s="4"/>
      <c r="N214" s="4"/>
      <c r="O214" s="5" t="n">
        <f aca="false">IF(AND(J214="",K214="",M214=""),"",IF(OR(AND(N(K214)&gt;0,L214=""),AND(N(M214)&gt;0,N214="")),"à compléter",N(J214)+N(K214)*N(L214)+N(M214)*N(N214)))</f>
        <v>2</v>
      </c>
      <c r="P214" s="4"/>
      <c r="Q214" s="4" t="n">
        <v>2500</v>
      </c>
    </row>
    <row r="215" customFormat="false" ht="15" hidden="false" customHeight="false" outlineLevel="0" collapsed="false">
      <c r="A215" s="4"/>
      <c r="B215" s="7" t="s">
        <v>280</v>
      </c>
      <c r="C215" s="4"/>
      <c r="D215" s="7" t="s">
        <v>377</v>
      </c>
      <c r="E215" s="4" t="s">
        <v>38</v>
      </c>
      <c r="F215" s="4" t="n">
        <v>6000</v>
      </c>
      <c r="G215" s="4" t="s">
        <v>196</v>
      </c>
      <c r="H215" s="4"/>
      <c r="I215" s="4"/>
      <c r="J215" s="4" t="n">
        <v>1</v>
      </c>
      <c r="K215" s="4"/>
      <c r="L215" s="4"/>
      <c r="M215" s="4"/>
      <c r="N215" s="4"/>
      <c r="O215" s="5" t="n">
        <f aca="false">IF(AND(J215="",K215="",M215=""),"",IF(OR(AND(N(K215)&gt;0,L215=""),AND(N(M215)&gt;0,N215="")),"à compléter",N(J215)+N(K215)*N(L215)+N(M215)*N(N215)))</f>
        <v>1</v>
      </c>
      <c r="P215" s="4"/>
      <c r="Q215" s="4" t="n">
        <v>6000</v>
      </c>
    </row>
    <row r="216" customFormat="false" ht="15" hidden="false" customHeight="false" outlineLevel="0" collapsed="false">
      <c r="A216" s="4"/>
      <c r="B216" s="7" t="s">
        <v>280</v>
      </c>
      <c r="C216" s="4"/>
      <c r="D216" s="7" t="s">
        <v>378</v>
      </c>
      <c r="E216" s="4" t="s">
        <v>38</v>
      </c>
      <c r="F216" s="4" t="n">
        <v>5000</v>
      </c>
      <c r="G216" s="4" t="s">
        <v>129</v>
      </c>
      <c r="H216" s="4"/>
      <c r="I216" s="4"/>
      <c r="J216" s="4" t="n">
        <v>2</v>
      </c>
      <c r="K216" s="4"/>
      <c r="L216" s="4"/>
      <c r="M216" s="4"/>
      <c r="N216" s="4"/>
      <c r="O216" s="5" t="n">
        <f aca="false">IF(AND(J216="",K216="",M216=""),"",IF(OR(AND(N(K216)&gt;0,L216=""),AND(N(M216)&gt;0,N216="")),"à compléter",N(J216)+N(K216)*N(L216)+N(M216)*N(N216)))</f>
        <v>2</v>
      </c>
      <c r="P216" s="4" t="s">
        <v>379</v>
      </c>
      <c r="Q216" s="4" t="n">
        <v>5000</v>
      </c>
    </row>
    <row r="217" customFormat="false" ht="15" hidden="false" customHeight="false" outlineLevel="0" collapsed="false">
      <c r="A217" s="4"/>
      <c r="B217" s="7" t="s">
        <v>280</v>
      </c>
      <c r="C217" s="4"/>
      <c r="D217" s="7" t="s">
        <v>380</v>
      </c>
      <c r="E217" s="4" t="s">
        <v>38</v>
      </c>
      <c r="F217" s="4" t="n">
        <v>700</v>
      </c>
      <c r="G217" s="4" t="s">
        <v>156</v>
      </c>
      <c r="H217" s="4"/>
      <c r="I217" s="4"/>
      <c r="J217" s="4" t="n">
        <v>10</v>
      </c>
      <c r="K217" s="4"/>
      <c r="L217" s="4"/>
      <c r="M217" s="4"/>
      <c r="N217" s="4"/>
      <c r="O217" s="5" t="n">
        <f aca="false">IF(AND(J217="",K217="",M217=""),"",IF(OR(AND(N(K217)&gt;0,L217=""),AND(N(M217)&gt;0,N217="")),"à compléter",N(J217)+N(K217)*N(L217)+N(M217)*N(N217)))</f>
        <v>10</v>
      </c>
      <c r="P217" s="4"/>
      <c r="Q217" s="4" t="n">
        <v>700</v>
      </c>
    </row>
    <row r="218" customFormat="false" ht="15" hidden="false" customHeight="false" outlineLevel="0" collapsed="false">
      <c r="A218" s="4"/>
      <c r="B218" s="7" t="s">
        <v>280</v>
      </c>
      <c r="C218" s="4"/>
      <c r="D218" s="7" t="s">
        <v>381</v>
      </c>
      <c r="E218" s="4" t="s">
        <v>38</v>
      </c>
      <c r="F218" s="4" t="n">
        <v>500</v>
      </c>
      <c r="G218" s="4" t="s">
        <v>77</v>
      </c>
      <c r="H218" s="4"/>
      <c r="I218" s="4"/>
      <c r="J218" s="4" t="n">
        <v>8</v>
      </c>
      <c r="K218" s="4"/>
      <c r="L218" s="4"/>
      <c r="M218" s="4"/>
      <c r="N218" s="4"/>
      <c r="O218" s="5" t="n">
        <f aca="false">IF(AND(J218="",K218="",M218=""),"",IF(OR(AND(N(K218)&gt;0,L218=""),AND(N(M218)&gt;0,N218="")),"à compléter",N(J218)+N(K218)*N(L218)+N(M218)*N(N218)))</f>
        <v>8</v>
      </c>
      <c r="P218" s="4"/>
      <c r="Q218" s="4" t="n">
        <v>500</v>
      </c>
    </row>
    <row r="219" customFormat="false" ht="15" hidden="false" customHeight="false" outlineLevel="0" collapsed="false">
      <c r="A219" s="4"/>
      <c r="B219" s="7" t="s">
        <v>280</v>
      </c>
      <c r="C219" s="4"/>
      <c r="D219" s="7" t="s">
        <v>382</v>
      </c>
      <c r="E219" s="4" t="s">
        <v>38</v>
      </c>
      <c r="F219" s="4" t="n">
        <v>200</v>
      </c>
      <c r="G219" s="4" t="s">
        <v>148</v>
      </c>
      <c r="H219" s="4"/>
      <c r="I219" s="4"/>
      <c r="J219" s="4" t="n">
        <v>34</v>
      </c>
      <c r="K219" s="4"/>
      <c r="L219" s="4"/>
      <c r="M219" s="4"/>
      <c r="N219" s="4"/>
      <c r="O219" s="5" t="n">
        <f aca="false">IF(AND(J219="",K219="",M219=""),"",IF(OR(AND(N(K219)&gt;0,L219=""),AND(N(M219)&gt;0,N219="")),"à compléter",N(J219)+N(K219)*N(L219)+N(M219)*N(N219)))</f>
        <v>34</v>
      </c>
      <c r="P219" s="4"/>
      <c r="Q219" s="4" t="n">
        <v>200</v>
      </c>
    </row>
    <row r="220" customFormat="false" ht="15" hidden="false" customHeight="false" outlineLevel="0" collapsed="false">
      <c r="A220" s="4"/>
      <c r="B220" s="7" t="s">
        <v>280</v>
      </c>
      <c r="C220" s="4"/>
      <c r="D220" s="7" t="s">
        <v>383</v>
      </c>
      <c r="E220" s="4" t="s">
        <v>38</v>
      </c>
      <c r="F220" s="4" t="n">
        <v>300</v>
      </c>
      <c r="G220" s="4" t="s">
        <v>348</v>
      </c>
      <c r="H220" s="4"/>
      <c r="I220" s="4"/>
      <c r="J220" s="4" t="n">
        <v>8</v>
      </c>
      <c r="K220" s="4"/>
      <c r="L220" s="4"/>
      <c r="M220" s="4"/>
      <c r="N220" s="4"/>
      <c r="O220" s="5" t="n">
        <f aca="false">IF(AND(J220="",K220="",M220=""),"",IF(OR(AND(N(K220)&gt;0,L220=""),AND(N(M220)&gt;0,N220="")),"à compléter",N(J220)+N(K220)*N(L220)+N(M220)*N(N220)))</f>
        <v>8</v>
      </c>
      <c r="P220" s="4"/>
      <c r="Q220" s="4" t="n">
        <v>300</v>
      </c>
    </row>
    <row r="221" customFormat="false" ht="15" hidden="false" customHeight="false" outlineLevel="0" collapsed="false">
      <c r="A221" s="4"/>
      <c r="B221" s="7" t="s">
        <v>280</v>
      </c>
      <c r="C221" s="4"/>
      <c r="D221" s="7" t="s">
        <v>384</v>
      </c>
      <c r="E221" s="4" t="s">
        <v>38</v>
      </c>
      <c r="F221" s="4" t="n">
        <v>1300</v>
      </c>
      <c r="G221" s="4" t="s">
        <v>116</v>
      </c>
      <c r="H221" s="4"/>
      <c r="I221" s="4"/>
      <c r="J221" s="4" t="n">
        <v>1</v>
      </c>
      <c r="K221" s="4"/>
      <c r="L221" s="4"/>
      <c r="M221" s="4"/>
      <c r="N221" s="4"/>
      <c r="O221" s="5" t="n">
        <f aca="false">IF(AND(J221="",K221="",M221=""),"",IF(OR(AND(N(K221)&gt;0,L221=""),AND(N(M221)&gt;0,N221="")),"à compléter",N(J221)+N(K221)*N(L221)+N(M221)*N(N221)))</f>
        <v>1</v>
      </c>
      <c r="P221" s="4"/>
      <c r="Q221" s="4" t="n">
        <v>1300</v>
      </c>
    </row>
    <row r="222" customFormat="false" ht="15" hidden="false" customHeight="false" outlineLevel="0" collapsed="false">
      <c r="A222" s="4"/>
      <c r="B222" s="7" t="s">
        <v>280</v>
      </c>
      <c r="C222" s="4"/>
      <c r="D222" s="7" t="s">
        <v>385</v>
      </c>
      <c r="E222" s="4" t="s">
        <v>38</v>
      </c>
      <c r="F222" s="4" t="n">
        <v>200</v>
      </c>
      <c r="G222" s="4" t="s">
        <v>64</v>
      </c>
      <c r="H222" s="4"/>
      <c r="I222" s="4"/>
      <c r="J222" s="4" t="n">
        <v>33</v>
      </c>
      <c r="K222" s="4"/>
      <c r="L222" s="4"/>
      <c r="M222" s="4"/>
      <c r="N222" s="4"/>
      <c r="O222" s="5" t="n">
        <f aca="false">IF(AND(J222="",K222="",M222=""),"",IF(OR(AND(N(K222)&gt;0,L222=""),AND(N(M222)&gt;0,N222="")),"à compléter",N(J222)+N(K222)*N(L222)+N(M222)*N(N222)))</f>
        <v>33</v>
      </c>
      <c r="P222" s="4"/>
      <c r="Q222" s="4" t="n">
        <v>200</v>
      </c>
    </row>
    <row r="223" customFormat="false" ht="15" hidden="false" customHeight="false" outlineLevel="0" collapsed="false">
      <c r="A223" s="4"/>
      <c r="B223" s="7" t="s">
        <v>280</v>
      </c>
      <c r="C223" s="4"/>
      <c r="D223" s="7" t="s">
        <v>386</v>
      </c>
      <c r="E223" s="4" t="s">
        <v>38</v>
      </c>
      <c r="F223" s="4" t="n">
        <v>200</v>
      </c>
      <c r="G223" s="4" t="s">
        <v>387</v>
      </c>
      <c r="H223" s="4"/>
      <c r="I223" s="4"/>
      <c r="J223" s="4" t="n">
        <v>118</v>
      </c>
      <c r="K223" s="4"/>
      <c r="L223" s="4"/>
      <c r="M223" s="4"/>
      <c r="N223" s="4"/>
      <c r="O223" s="5" t="n">
        <f aca="false">IF(AND(J223="",K223="",M223=""),"",IF(OR(AND(N(K223)&gt;0,L223=""),AND(N(M223)&gt;0,N223="")),"à compléter",N(J223)+N(K223)*N(L223)+N(M223)*N(N223)))</f>
        <v>118</v>
      </c>
      <c r="P223" s="4"/>
      <c r="Q223" s="4" t="n">
        <v>200</v>
      </c>
    </row>
    <row r="224" customFormat="false" ht="15" hidden="false" customHeight="false" outlineLevel="0" collapsed="false">
      <c r="A224" s="4"/>
      <c r="B224" s="7" t="s">
        <v>280</v>
      </c>
      <c r="C224" s="4"/>
      <c r="D224" s="7" t="s">
        <v>388</v>
      </c>
      <c r="E224" s="4" t="s">
        <v>38</v>
      </c>
      <c r="F224" s="4" t="n">
        <v>1000</v>
      </c>
      <c r="G224" s="4"/>
      <c r="H224" s="4" t="s">
        <v>136</v>
      </c>
      <c r="I224" s="4"/>
      <c r="J224" s="4" t="n">
        <v>3</v>
      </c>
      <c r="K224" s="4"/>
      <c r="L224" s="4"/>
      <c r="M224" s="4"/>
      <c r="N224" s="4"/>
      <c r="O224" s="5" t="n">
        <f aca="false">IF(AND(J224="",K224="",M224=""),"",IF(OR(AND(N(K224)&gt;0,L224=""),AND(N(M224)&gt;0,N224="")),"à compléter",N(J224)+N(K224)*N(L224)+N(M224)*N(N224)))</f>
        <v>3</v>
      </c>
      <c r="P224" s="4"/>
      <c r="Q224" s="4" t="n">
        <v>1000</v>
      </c>
    </row>
    <row r="225" customFormat="false" ht="15" hidden="false" customHeight="false" outlineLevel="0" collapsed="false">
      <c r="A225" s="4"/>
      <c r="B225" s="7" t="s">
        <v>280</v>
      </c>
      <c r="C225" s="4"/>
      <c r="D225" s="7" t="s">
        <v>389</v>
      </c>
      <c r="E225" s="4" t="s">
        <v>38</v>
      </c>
      <c r="F225" s="4" t="n">
        <v>500</v>
      </c>
      <c r="G225" s="4"/>
      <c r="H225" s="4" t="s">
        <v>103</v>
      </c>
      <c r="I225" s="4"/>
      <c r="J225" s="4" t="n">
        <v>12</v>
      </c>
      <c r="K225" s="4"/>
      <c r="L225" s="4"/>
      <c r="M225" s="4"/>
      <c r="N225" s="4"/>
      <c r="O225" s="5" t="n">
        <f aca="false">IF(AND(J225="",K225="",M225=""),"",IF(OR(AND(N(K225)&gt;0,L225=""),AND(N(M225)&gt;0,N225="")),"à compléter",N(J225)+N(K225)*N(L225)+N(M225)*N(N225)))</f>
        <v>12</v>
      </c>
      <c r="P225" s="4"/>
      <c r="Q225" s="4" t="n">
        <v>500</v>
      </c>
    </row>
    <row r="226" customFormat="false" ht="15" hidden="false" customHeight="false" outlineLevel="0" collapsed="false">
      <c r="A226" s="4"/>
      <c r="B226" s="7" t="s">
        <v>280</v>
      </c>
      <c r="C226" s="4"/>
      <c r="D226" s="7" t="s">
        <v>390</v>
      </c>
      <c r="E226" s="4" t="s">
        <v>38</v>
      </c>
      <c r="F226" s="4" t="n">
        <v>2500</v>
      </c>
      <c r="G226" s="4"/>
      <c r="H226" s="4" t="s">
        <v>136</v>
      </c>
      <c r="I226" s="4"/>
      <c r="J226" s="4" t="n">
        <v>3</v>
      </c>
      <c r="K226" s="4"/>
      <c r="L226" s="4"/>
      <c r="M226" s="4"/>
      <c r="N226" s="4"/>
      <c r="O226" s="5" t="n">
        <f aca="false">IF(AND(J226="",K226="",M226=""),"",IF(OR(AND(N(K226)&gt;0,L226=""),AND(N(M226)&gt;0,N226="")),"à compléter",N(J226)+N(K226)*N(L226)+N(M226)*N(N226)))</f>
        <v>3</v>
      </c>
      <c r="P226" s="4"/>
      <c r="Q226" s="4" t="n">
        <v>2500</v>
      </c>
    </row>
    <row r="227" customFormat="false" ht="15" hidden="false" customHeight="false" outlineLevel="0" collapsed="false">
      <c r="A227" s="4"/>
      <c r="B227" s="7" t="s">
        <v>280</v>
      </c>
      <c r="C227" s="4"/>
      <c r="D227" s="7" t="s">
        <v>391</v>
      </c>
      <c r="E227" s="4" t="s">
        <v>38</v>
      </c>
      <c r="F227" s="4" t="n">
        <v>2500</v>
      </c>
      <c r="G227" s="4"/>
      <c r="H227" s="4" t="s">
        <v>122</v>
      </c>
      <c r="I227" s="4"/>
      <c r="J227" s="4" t="n">
        <v>6</v>
      </c>
      <c r="K227" s="4"/>
      <c r="L227" s="4"/>
      <c r="M227" s="4"/>
      <c r="N227" s="4"/>
      <c r="O227" s="5" t="n">
        <f aca="false">IF(AND(J227="",K227="",M227=""),"",IF(OR(AND(N(K227)&gt;0,L227=""),AND(N(M227)&gt;0,N227="")),"à compléter",N(J227)+N(K227)*N(L227)+N(M227)*N(N227)))</f>
        <v>6</v>
      </c>
      <c r="P227" s="4"/>
      <c r="Q227" s="4" t="n">
        <v>2500</v>
      </c>
    </row>
    <row r="228" customFormat="false" ht="15" hidden="false" customHeight="false" outlineLevel="0" collapsed="false">
      <c r="A228" s="4"/>
      <c r="B228" s="7" t="s">
        <v>280</v>
      </c>
      <c r="C228" s="4"/>
      <c r="D228" s="7" t="s">
        <v>392</v>
      </c>
      <c r="E228" s="4" t="s">
        <v>38</v>
      </c>
      <c r="F228" s="4" t="n">
        <v>600</v>
      </c>
      <c r="G228" s="4"/>
      <c r="H228" s="4" t="s">
        <v>204</v>
      </c>
      <c r="I228" s="4"/>
      <c r="J228" s="4" t="n">
        <v>5</v>
      </c>
      <c r="K228" s="4"/>
      <c r="L228" s="4"/>
      <c r="M228" s="4"/>
      <c r="N228" s="4"/>
      <c r="O228" s="5" t="n">
        <f aca="false">IF(AND(J228="",K228="",M228=""),"",IF(OR(AND(N(K228)&gt;0,L228=""),AND(N(M228)&gt;0,N228="")),"à compléter",N(J228)+N(K228)*N(L228)+N(M228)*N(N228)))</f>
        <v>5</v>
      </c>
      <c r="P228" s="4"/>
      <c r="Q228" s="4" t="n">
        <v>600</v>
      </c>
    </row>
    <row r="229" customFormat="false" ht="15" hidden="false" customHeight="false" outlineLevel="0" collapsed="false">
      <c r="A229" s="4"/>
      <c r="B229" s="7" t="s">
        <v>280</v>
      </c>
      <c r="C229" s="4"/>
      <c r="D229" s="7" t="s">
        <v>393</v>
      </c>
      <c r="E229" s="4" t="s">
        <v>38</v>
      </c>
      <c r="F229" s="4" t="n">
        <v>500</v>
      </c>
      <c r="G229" s="4"/>
      <c r="H229" s="4" t="s">
        <v>103</v>
      </c>
      <c r="I229" s="4"/>
      <c r="J229" s="4" t="n">
        <v>12</v>
      </c>
      <c r="K229" s="4"/>
      <c r="L229" s="4"/>
      <c r="M229" s="4"/>
      <c r="N229" s="4"/>
      <c r="O229" s="5" t="n">
        <f aca="false">IF(AND(J229="",K229="",M229=""),"",IF(OR(AND(N(K229)&gt;0,L229=""),AND(N(M229)&gt;0,N229="")),"à compléter",N(J229)+N(K229)*N(L229)+N(M229)*N(N229)))</f>
        <v>12</v>
      </c>
      <c r="P229" s="4"/>
      <c r="Q229" s="4" t="n">
        <v>500</v>
      </c>
    </row>
  </sheetData>
  <autoFilter ref="A1:Q229"/>
  <dataValidations count="1">
    <dataValidation allowBlank="true" errorStyle="stop" operator="greaterThanOrEqual" showDropDown="false" showErrorMessage="false" showInputMessage="false" sqref="F2:F229 J2:N229 Q2:Q229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2026-09-26T17:13:27Z</dcterms:created>
  <dc:creator>openpyxl</dc:creator>
  <dc:description/>
  <dc:language>en-US</dc:language>
  <cp:lastModifiedBy/>
  <dcterms:modified xsi:type="dcterms:W3CDTF">2026-09-26T17:13:28Z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