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ux par jour" sheetId="1" state="visible" r:id="rId3"/>
    <sheet name="Ventes" sheetId="2" state="visible" r:id="rId4"/>
    <sheet name="Stock par artic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<sst xmlns="http://schemas.openxmlformats.org/spreadsheetml/2006/main" count="287" uniqueCount="59">
  <si>
    <t xml:space="preserve">Date</t>
  </si>
  <si>
    <t xml:space="preserve">Total calculé</t>
  </si>
  <si>
    <t xml:space="preserve">Total écrit par Maman</t>
  </si>
  <si>
    <t xml:space="preserve">Écart</t>
  </si>
  <si>
    <t xml:space="preserve">23/09/2026</t>
  </si>
  <si>
    <t xml:space="preserve">24/09/2026</t>
  </si>
  <si>
    <t xml:space="preserve">25/09/2026</t>
  </si>
  <si>
    <t xml:space="preserve">26/09/2026</t>
  </si>
  <si>
    <t xml:space="preserve">TOTAL</t>
  </si>
  <si>
    <t xml:space="preserve">N°</t>
  </si>
  <si>
    <t xml:space="preserve">Écrit sur la feuille</t>
  </si>
  <si>
    <t xml:space="preserve">Article dans l'app</t>
  </si>
  <si>
    <t xml:space="preserve">Quantité</t>
  </si>
  <si>
    <t xml:space="preserve">Montant encaissé (F)</t>
  </si>
  <si>
    <t xml:space="preserve">Remarque</t>
  </si>
  <si>
    <t xml:space="preserve">conde 1P</t>
  </si>
  <si>
    <t xml:space="preserve">Corde noir (paquet de 12)</t>
  </si>
  <si>
    <t xml:space="preserve">conde 02</t>
  </si>
  <si>
    <t xml:space="preserve">Corde noir (pièce)</t>
  </si>
  <si>
    <t xml:space="preserve">ceres</t>
  </si>
  <si>
    <t xml:space="preserve">Ceres</t>
  </si>
  <si>
    <t xml:space="preserve">culy</t>
  </si>
  <si>
    <t xml:space="preserve">Xpression curly</t>
  </si>
  <si>
    <t xml:space="preserve">Conde noir 1P</t>
  </si>
  <si>
    <t xml:space="preserve">Mèva</t>
  </si>
  <si>
    <t xml:space="preserve">Produit Méva</t>
  </si>
  <si>
    <t xml:space="preserve">Produit Béba renommé</t>
  </si>
  <si>
    <t xml:space="preserve">Durable</t>
  </si>
  <si>
    <t xml:space="preserve">Janet</t>
  </si>
  <si>
    <t xml:space="preserve">Conde noir 1P½</t>
  </si>
  <si>
    <t xml:space="preserve">½ paquet = 6 pièces au prix de gros</t>
  </si>
  <si>
    <t xml:space="preserve">Xpression</t>
  </si>
  <si>
    <t xml:space="preserve">X-pression détail</t>
  </si>
  <si>
    <t xml:space="preserve">X-Pression</t>
  </si>
  <si>
    <t xml:space="preserve">Conde noir 2P</t>
  </si>
  <si>
    <t xml:space="preserve">lot</t>
  </si>
  <si>
    <t xml:space="preserve">Conde noir 4P</t>
  </si>
  <si>
    <t xml:space="preserve">Conde noir ½</t>
  </si>
  <si>
    <t xml:space="preserve">½ paquet</t>
  </si>
  <si>
    <t xml:space="preserve">Bouncy</t>
  </si>
  <si>
    <t xml:space="preserve">Bouncy kinky</t>
  </si>
  <si>
    <t xml:space="preserve">Curly</t>
  </si>
  <si>
    <t xml:space="preserve">Conde noir 1</t>
  </si>
  <si>
    <t xml:space="preserve">Fashion Froyal</t>
  </si>
  <si>
    <t xml:space="preserve">Fashion Royal</t>
  </si>
  <si>
    <t xml:space="preserve">Leine</t>
  </si>
  <si>
    <t xml:space="preserve">Multi</t>
  </si>
  <si>
    <t xml:space="preserve">Schaly</t>
  </si>
  <si>
    <t xml:space="preserve">Shary</t>
  </si>
  <si>
    <t xml:space="preserve">X-pression</t>
  </si>
  <si>
    <t xml:space="preserve">4 Flowers</t>
  </si>
  <si>
    <t xml:space="preserve">4 flowers</t>
  </si>
  <si>
    <t xml:space="preserve">Conde noir 2</t>
  </si>
  <si>
    <t xml:space="preserve">Conde noir 4</t>
  </si>
  <si>
    <t xml:space="preserve">Article</t>
  </si>
  <si>
    <t xml:space="preserve">Stock avant ventes</t>
  </si>
  <si>
    <t xml:space="preserve">Vendu (23→26/09)</t>
  </si>
  <si>
    <t xml:space="preserve">Stock après</t>
  </si>
  <si>
    <t xml:space="preserve">Corde noir : les 39 pièces vendues dépassent les 5 pièces en stock → il faut « couper » 3 paquets (−3 paquets, +36 pièces) avant ces ventes. Après : 1 paquet et 2 pièces.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</si>
</sst>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06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0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f aca="false">SUMIF(Ventes!B2:B80,A2,Ventes!F2:F80)</f>
        <v>15850</v>
      </c>
      <c r="C2" s="0" t="n">
        <v>15850</v>
      </c>
      <c r="D2" s="0" t="n">
        <f aca="false">B2-C2</f>
        <v>0</v>
      </c>
    </row>
    <row r="3" customFormat="false" ht="15" hidden="false" customHeight="false" outlineLevel="0" collapsed="false">
      <c r="A3" s="0" t="s">
        <v>5</v>
      </c>
      <c r="B3" s="0" t="n">
        <f aca="false">SUMIF(Ventes!B2:B80,A3,Ventes!F2:F80)</f>
        <v>103350</v>
      </c>
      <c r="C3" s="0" t="n">
        <v>103350</v>
      </c>
      <c r="D3" s="0" t="n">
        <f aca="false">B3-C3</f>
        <v>0</v>
      </c>
    </row>
    <row r="4" customFormat="false" ht="15" hidden="false" customHeight="false" outlineLevel="0" collapsed="false">
      <c r="A4" s="0" t="s">
        <v>6</v>
      </c>
      <c r="B4" s="0" t="n">
        <f aca="false">SUMIF(Ventes!B2:B80,A4,Ventes!F2:F80)</f>
        <v>127650</v>
      </c>
      <c r="C4" s="0" t="n">
        <v>127650</v>
      </c>
      <c r="D4" s="0" t="n">
        <f aca="false">B4-C4</f>
        <v>0</v>
      </c>
    </row>
    <row r="5" customFormat="false" ht="15" hidden="false" customHeight="false" outlineLevel="0" collapsed="false">
      <c r="A5" s="0" t="s">
        <v>7</v>
      </c>
      <c r="B5" s="0" t="n">
        <f aca="false">SUMIF(Ventes!B2:B80,A5,Ventes!F2:F80)</f>
        <v>27450</v>
      </c>
      <c r="C5" s="0" t="n">
        <v>27200</v>
      </c>
      <c r="D5" s="0" t="n">
        <f aca="false">B5-C5</f>
        <v>250</v>
      </c>
    </row>
    <row r="6" customFormat="false" ht="15" hidden="false" customHeight="false" outlineLevel="0" collapsed="false">
      <c r="A6" s="0" t="s">
        <v>8</v>
      </c>
      <c r="B6" s="0" t="n">
        <f aca="false">SUM(B2:B5)</f>
        <v>274300</v>
      </c>
      <c r="C6" s="0" t="n">
        <f aca="false">SUM(C2:C5)</f>
        <v>274050</v>
      </c>
      <c r="D6" s="0" t="n">
        <f aca="false">B6-C6</f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34"/>
  </cols>
  <sheetData>
    <row r="1" customFormat="false" ht="26.85" hidden="false" customHeight="false" outlineLevel="0" collapsed="false">
      <c r="A1" s="2" t="s">
        <v>9</v>
      </c>
      <c r="B1" s="2" t="s">
        <v>0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customFormat="false" ht="15" hidden="false" customHeight="false" outlineLevel="0" collapsed="false">
      <c r="A2" s="3" t="n">
        <v>1</v>
      </c>
      <c r="B2" s="3" t="s">
        <v>4</v>
      </c>
      <c r="C2" s="3" t="s">
        <v>15</v>
      </c>
      <c r="D2" s="3" t="s">
        <v>16</v>
      </c>
      <c r="E2" s="3" t="n">
        <v>1</v>
      </c>
      <c r="F2" s="3" t="n">
        <v>500</v>
      </c>
      <c r="G2" s="3"/>
    </row>
    <row r="3" customFormat="false" ht="15" hidden="false" customHeight="false" outlineLevel="0" collapsed="false">
      <c r="A3" s="3" t="n">
        <v>2</v>
      </c>
      <c r="B3" s="3" t="s">
        <v>4</v>
      </c>
      <c r="C3" s="3" t="s">
        <v>17</v>
      </c>
      <c r="D3" s="3" t="s">
        <v>18</v>
      </c>
      <c r="E3" s="3" t="n">
        <v>2</v>
      </c>
      <c r="F3" s="3" t="n">
        <v>100</v>
      </c>
      <c r="G3" s="3"/>
    </row>
    <row r="4" customFormat="false" ht="15" hidden="false" customHeight="false" outlineLevel="0" collapsed="false">
      <c r="A4" s="3" t="n">
        <v>3</v>
      </c>
      <c r="B4" s="3" t="s">
        <v>4</v>
      </c>
      <c r="C4" s="3" t="s">
        <v>19</v>
      </c>
      <c r="D4" s="3" t="s">
        <v>20</v>
      </c>
      <c r="E4" s="3" t="n">
        <v>1</v>
      </c>
      <c r="F4" s="3" t="n">
        <v>1500</v>
      </c>
      <c r="G4" s="3"/>
    </row>
    <row r="5" customFormat="false" ht="15" hidden="false" customHeight="false" outlineLevel="0" collapsed="false">
      <c r="A5" s="3" t="n">
        <v>4</v>
      </c>
      <c r="B5" s="3" t="s">
        <v>4</v>
      </c>
      <c r="C5" s="3" t="s">
        <v>21</v>
      </c>
      <c r="D5" s="3" t="s">
        <v>22</v>
      </c>
      <c r="E5" s="3" t="n">
        <v>1</v>
      </c>
      <c r="F5" s="3" t="n">
        <v>1500</v>
      </c>
      <c r="G5" s="3"/>
    </row>
    <row r="6" customFormat="false" ht="15" hidden="false" customHeight="false" outlineLevel="0" collapsed="false">
      <c r="A6" s="3" t="n">
        <v>5</v>
      </c>
      <c r="B6" s="3" t="s">
        <v>4</v>
      </c>
      <c r="C6" s="3" t="s">
        <v>23</v>
      </c>
      <c r="D6" s="3" t="s">
        <v>16</v>
      </c>
      <c r="E6" s="3" t="n">
        <v>1</v>
      </c>
      <c r="F6" s="3" t="n">
        <v>500</v>
      </c>
      <c r="G6" s="3"/>
    </row>
    <row r="7" customFormat="false" ht="15" hidden="false" customHeight="false" outlineLevel="0" collapsed="false">
      <c r="A7" s="3" t="n">
        <v>6</v>
      </c>
      <c r="B7" s="3" t="s">
        <v>4</v>
      </c>
      <c r="C7" s="3" t="s">
        <v>24</v>
      </c>
      <c r="D7" s="3" t="s">
        <v>25</v>
      </c>
      <c r="E7" s="3" t="n">
        <v>1</v>
      </c>
      <c r="F7" s="3" t="n">
        <v>500</v>
      </c>
      <c r="G7" s="3" t="s">
        <v>26</v>
      </c>
    </row>
    <row r="8" customFormat="false" ht="15" hidden="false" customHeight="false" outlineLevel="0" collapsed="false">
      <c r="A8" s="3" t="n">
        <v>7</v>
      </c>
      <c r="B8" s="3" t="s">
        <v>4</v>
      </c>
      <c r="C8" s="3" t="s">
        <v>27</v>
      </c>
      <c r="D8" s="3" t="s">
        <v>27</v>
      </c>
      <c r="E8" s="3" t="n">
        <v>1</v>
      </c>
      <c r="F8" s="3" t="n">
        <v>7000</v>
      </c>
      <c r="G8" s="3"/>
    </row>
    <row r="9" customFormat="false" ht="15" hidden="false" customHeight="false" outlineLevel="0" collapsed="false">
      <c r="A9" s="3" t="n">
        <v>8</v>
      </c>
      <c r="B9" s="3" t="s">
        <v>4</v>
      </c>
      <c r="C9" s="3" t="s">
        <v>28</v>
      </c>
      <c r="D9" s="3" t="s">
        <v>28</v>
      </c>
      <c r="E9" s="3" t="n">
        <v>1</v>
      </c>
      <c r="F9" s="3" t="n">
        <v>1500</v>
      </c>
      <c r="G9" s="3"/>
    </row>
    <row r="10" customFormat="false" ht="15" hidden="false" customHeight="false" outlineLevel="0" collapsed="false">
      <c r="A10" s="3" t="n">
        <v>9</v>
      </c>
      <c r="B10" s="3" t="s">
        <v>4</v>
      </c>
      <c r="C10" s="3" t="s">
        <v>29</v>
      </c>
      <c r="D10" s="3" t="s">
        <v>16</v>
      </c>
      <c r="E10" s="3" t="n">
        <v>1</v>
      </c>
      <c r="F10" s="3" t="n">
        <v>500</v>
      </c>
      <c r="G10" s="3" t="s">
        <v>30</v>
      </c>
    </row>
    <row r="11" customFormat="false" ht="15" hidden="false" customHeight="false" outlineLevel="0" collapsed="false">
      <c r="A11" s="3" t="n">
        <v>9</v>
      </c>
      <c r="B11" s="3" t="s">
        <v>4</v>
      </c>
      <c r="C11" s="3" t="s">
        <v>29</v>
      </c>
      <c r="D11" s="3" t="s">
        <v>18</v>
      </c>
      <c r="E11" s="3" t="n">
        <v>6</v>
      </c>
      <c r="F11" s="3" t="n">
        <v>250</v>
      </c>
      <c r="G11" s="3" t="s">
        <v>30</v>
      </c>
    </row>
    <row r="12" customFormat="false" ht="15" hidden="false" customHeight="false" outlineLevel="0" collapsed="false">
      <c r="A12" s="3" t="n">
        <v>10</v>
      </c>
      <c r="B12" s="3" t="s">
        <v>4</v>
      </c>
      <c r="C12" s="3" t="s">
        <v>23</v>
      </c>
      <c r="D12" s="3" t="s">
        <v>16</v>
      </c>
      <c r="E12" s="3" t="n">
        <v>1</v>
      </c>
      <c r="F12" s="3" t="n">
        <v>500</v>
      </c>
      <c r="G12" s="3"/>
    </row>
    <row r="13" customFormat="false" ht="15" hidden="false" customHeight="false" outlineLevel="0" collapsed="false">
      <c r="A13" s="3" t="n">
        <v>11</v>
      </c>
      <c r="B13" s="3" t="s">
        <v>4</v>
      </c>
      <c r="C13" s="3" t="s">
        <v>31</v>
      </c>
      <c r="D13" s="3" t="s">
        <v>32</v>
      </c>
      <c r="E13" s="3" t="n">
        <v>1</v>
      </c>
      <c r="F13" s="3" t="n">
        <v>1500</v>
      </c>
      <c r="G13" s="3"/>
    </row>
    <row r="14" customFormat="false" ht="15" hidden="false" customHeight="false" outlineLevel="0" collapsed="false">
      <c r="A14" s="3" t="n">
        <v>12</v>
      </c>
      <c r="B14" s="3" t="s">
        <v>5</v>
      </c>
      <c r="C14" s="3" t="s">
        <v>33</v>
      </c>
      <c r="D14" s="3" t="s">
        <v>32</v>
      </c>
      <c r="E14" s="3" t="n">
        <v>2</v>
      </c>
      <c r="F14" s="3" t="n">
        <v>3000</v>
      </c>
      <c r="G14" s="3"/>
    </row>
    <row r="15" customFormat="false" ht="15" hidden="false" customHeight="false" outlineLevel="0" collapsed="false">
      <c r="A15" s="3" t="n">
        <v>13</v>
      </c>
      <c r="B15" s="3" t="s">
        <v>5</v>
      </c>
      <c r="C15" s="3" t="s">
        <v>34</v>
      </c>
      <c r="D15" s="3" t="s">
        <v>16</v>
      </c>
      <c r="E15" s="3" t="n">
        <v>2</v>
      </c>
      <c r="F15" s="3" t="n">
        <v>1000</v>
      </c>
      <c r="G15" s="3"/>
    </row>
    <row r="16" customFormat="false" ht="15" hidden="false" customHeight="false" outlineLevel="0" collapsed="false">
      <c r="A16" s="3" t="n">
        <v>14</v>
      </c>
      <c r="B16" s="3" t="s">
        <v>5</v>
      </c>
      <c r="C16" s="3" t="s">
        <v>33</v>
      </c>
      <c r="D16" s="3" t="s">
        <v>32</v>
      </c>
      <c r="E16" s="3" t="n">
        <v>6</v>
      </c>
      <c r="F16" s="3" t="n">
        <v>8750</v>
      </c>
      <c r="G16" s="3" t="s">
        <v>35</v>
      </c>
    </row>
    <row r="17" customFormat="false" ht="15" hidden="false" customHeight="false" outlineLevel="0" collapsed="false">
      <c r="A17" s="3" t="n">
        <v>15</v>
      </c>
      <c r="B17" s="3" t="s">
        <v>5</v>
      </c>
      <c r="C17" s="3" t="s">
        <v>33</v>
      </c>
      <c r="D17" s="3" t="s">
        <v>32</v>
      </c>
      <c r="E17" s="3" t="n">
        <v>1</v>
      </c>
      <c r="F17" s="3" t="n">
        <v>1500</v>
      </c>
      <c r="G17" s="3"/>
    </row>
    <row r="18" customFormat="false" ht="15" hidden="false" customHeight="false" outlineLevel="0" collapsed="false">
      <c r="A18" s="3" t="n">
        <v>16</v>
      </c>
      <c r="B18" s="3" t="s">
        <v>5</v>
      </c>
      <c r="C18" s="3" t="s">
        <v>36</v>
      </c>
      <c r="D18" s="3" t="s">
        <v>16</v>
      </c>
      <c r="E18" s="3" t="n">
        <v>4</v>
      </c>
      <c r="F18" s="3" t="n">
        <v>2000</v>
      </c>
      <c r="G18" s="3"/>
    </row>
    <row r="19" customFormat="false" ht="15" hidden="false" customHeight="false" outlineLevel="0" collapsed="false">
      <c r="A19" s="3" t="n">
        <v>17</v>
      </c>
      <c r="B19" s="3" t="s">
        <v>5</v>
      </c>
      <c r="C19" s="3" t="s">
        <v>37</v>
      </c>
      <c r="D19" s="3" t="s">
        <v>18</v>
      </c>
      <c r="E19" s="3" t="n">
        <v>6</v>
      </c>
      <c r="F19" s="3" t="n">
        <v>250</v>
      </c>
      <c r="G19" s="3" t="s">
        <v>38</v>
      </c>
    </row>
    <row r="20" customFormat="false" ht="15" hidden="false" customHeight="false" outlineLevel="0" collapsed="false">
      <c r="A20" s="3" t="n">
        <v>18</v>
      </c>
      <c r="B20" s="3" t="s">
        <v>5</v>
      </c>
      <c r="C20" s="3" t="s">
        <v>33</v>
      </c>
      <c r="D20" s="3" t="s">
        <v>32</v>
      </c>
      <c r="E20" s="3" t="n">
        <v>2</v>
      </c>
      <c r="F20" s="3" t="n">
        <v>3000</v>
      </c>
      <c r="G20" s="3"/>
    </row>
    <row r="21" customFormat="false" ht="15" hidden="false" customHeight="false" outlineLevel="0" collapsed="false">
      <c r="A21" s="3" t="n">
        <v>19</v>
      </c>
      <c r="B21" s="3" t="s">
        <v>5</v>
      </c>
      <c r="C21" s="3" t="s">
        <v>33</v>
      </c>
      <c r="D21" s="3" t="s">
        <v>32</v>
      </c>
      <c r="E21" s="3" t="n">
        <v>6</v>
      </c>
      <c r="F21" s="3" t="n">
        <v>8750</v>
      </c>
      <c r="G21" s="3" t="s">
        <v>35</v>
      </c>
    </row>
    <row r="22" customFormat="false" ht="15" hidden="false" customHeight="false" outlineLevel="0" collapsed="false">
      <c r="A22" s="3" t="n">
        <v>20</v>
      </c>
      <c r="B22" s="3" t="s">
        <v>5</v>
      </c>
      <c r="C22" s="3" t="s">
        <v>33</v>
      </c>
      <c r="D22" s="3" t="s">
        <v>32</v>
      </c>
      <c r="E22" s="3" t="n">
        <v>25</v>
      </c>
      <c r="F22" s="3" t="n">
        <v>37000</v>
      </c>
      <c r="G22" s="3" t="s">
        <v>35</v>
      </c>
    </row>
    <row r="23" customFormat="false" ht="15" hidden="false" customHeight="false" outlineLevel="0" collapsed="false">
      <c r="A23" s="3" t="n">
        <v>21</v>
      </c>
      <c r="B23" s="3" t="s">
        <v>5</v>
      </c>
      <c r="C23" s="3" t="s">
        <v>39</v>
      </c>
      <c r="D23" s="3" t="s">
        <v>40</v>
      </c>
      <c r="E23" s="3" t="n">
        <v>3</v>
      </c>
      <c r="F23" s="3" t="n">
        <v>6300</v>
      </c>
      <c r="G23" s="3" t="s">
        <v>35</v>
      </c>
    </row>
    <row r="24" customFormat="false" ht="15" hidden="false" customHeight="false" outlineLevel="0" collapsed="false">
      <c r="A24" s="3" t="n">
        <v>22</v>
      </c>
      <c r="B24" s="3" t="s">
        <v>5</v>
      </c>
      <c r="C24" s="3" t="s">
        <v>41</v>
      </c>
      <c r="D24" s="3" t="s">
        <v>22</v>
      </c>
      <c r="E24" s="3" t="n">
        <v>3</v>
      </c>
      <c r="F24" s="3" t="n">
        <v>4100</v>
      </c>
      <c r="G24" s="3" t="s">
        <v>35</v>
      </c>
    </row>
    <row r="25" customFormat="false" ht="15" hidden="false" customHeight="false" outlineLevel="0" collapsed="false">
      <c r="A25" s="3" t="n">
        <v>23</v>
      </c>
      <c r="B25" s="3" t="s">
        <v>5</v>
      </c>
      <c r="C25" s="3" t="s">
        <v>23</v>
      </c>
      <c r="D25" s="3" t="s">
        <v>16</v>
      </c>
      <c r="E25" s="3" t="n">
        <v>1</v>
      </c>
      <c r="F25" s="3" t="n">
        <v>500</v>
      </c>
      <c r="G25" s="3"/>
    </row>
    <row r="26" customFormat="false" ht="15" hidden="false" customHeight="false" outlineLevel="0" collapsed="false">
      <c r="A26" s="3" t="n">
        <v>24</v>
      </c>
      <c r="B26" s="3" t="s">
        <v>5</v>
      </c>
      <c r="C26" s="3" t="s">
        <v>33</v>
      </c>
      <c r="D26" s="3" t="s">
        <v>32</v>
      </c>
      <c r="E26" s="3" t="n">
        <v>4</v>
      </c>
      <c r="F26" s="3" t="n">
        <v>6000</v>
      </c>
      <c r="G26" s="3"/>
    </row>
    <row r="27" customFormat="false" ht="15" hidden="false" customHeight="false" outlineLevel="0" collapsed="false">
      <c r="A27" s="3" t="n">
        <v>25</v>
      </c>
      <c r="B27" s="3" t="s">
        <v>5</v>
      </c>
      <c r="C27" s="3" t="s">
        <v>33</v>
      </c>
      <c r="D27" s="3" t="s">
        <v>32</v>
      </c>
      <c r="E27" s="3" t="n">
        <v>1</v>
      </c>
      <c r="F27" s="3" t="n">
        <v>1500</v>
      </c>
      <c r="G27" s="3"/>
    </row>
    <row r="28" customFormat="false" ht="15" hidden="false" customHeight="false" outlineLevel="0" collapsed="false">
      <c r="A28" s="3" t="n">
        <v>26</v>
      </c>
      <c r="B28" s="3" t="s">
        <v>5</v>
      </c>
      <c r="C28" s="3" t="s">
        <v>41</v>
      </c>
      <c r="D28" s="3" t="s">
        <v>22</v>
      </c>
      <c r="E28" s="3" t="n">
        <v>1</v>
      </c>
      <c r="F28" s="3" t="n">
        <v>1500</v>
      </c>
      <c r="G28" s="3"/>
    </row>
    <row r="29" customFormat="false" ht="15" hidden="false" customHeight="false" outlineLevel="0" collapsed="false">
      <c r="A29" s="3" t="n">
        <v>27</v>
      </c>
      <c r="B29" s="3" t="s">
        <v>5</v>
      </c>
      <c r="C29" s="3" t="s">
        <v>23</v>
      </c>
      <c r="D29" s="3" t="s">
        <v>16</v>
      </c>
      <c r="E29" s="3" t="n">
        <v>1</v>
      </c>
      <c r="F29" s="3" t="n">
        <v>500</v>
      </c>
      <c r="G29" s="3"/>
    </row>
    <row r="30" customFormat="false" ht="15" hidden="false" customHeight="false" outlineLevel="0" collapsed="false">
      <c r="A30" s="3" t="n">
        <v>28</v>
      </c>
      <c r="B30" s="3" t="s">
        <v>5</v>
      </c>
      <c r="C30" s="3" t="s">
        <v>33</v>
      </c>
      <c r="D30" s="3" t="s">
        <v>32</v>
      </c>
      <c r="E30" s="3" t="n">
        <v>1</v>
      </c>
      <c r="F30" s="3" t="n">
        <v>1500</v>
      </c>
      <c r="G30" s="3"/>
    </row>
    <row r="31" customFormat="false" ht="15" hidden="false" customHeight="false" outlineLevel="0" collapsed="false">
      <c r="A31" s="3" t="n">
        <v>29</v>
      </c>
      <c r="B31" s="3" t="s">
        <v>5</v>
      </c>
      <c r="C31" s="3" t="s">
        <v>42</v>
      </c>
      <c r="D31" s="3" t="s">
        <v>18</v>
      </c>
      <c r="E31" s="3" t="n">
        <v>1</v>
      </c>
      <c r="F31" s="3" t="n">
        <v>50</v>
      </c>
      <c r="G31" s="3"/>
    </row>
    <row r="32" customFormat="false" ht="15" hidden="false" customHeight="false" outlineLevel="0" collapsed="false">
      <c r="A32" s="3" t="n">
        <v>30</v>
      </c>
      <c r="B32" s="3" t="s">
        <v>5</v>
      </c>
      <c r="C32" s="3" t="s">
        <v>33</v>
      </c>
      <c r="D32" s="3" t="s">
        <v>32</v>
      </c>
      <c r="E32" s="3" t="n">
        <v>6</v>
      </c>
      <c r="F32" s="3" t="n">
        <v>8750</v>
      </c>
      <c r="G32" s="3" t="s">
        <v>35</v>
      </c>
    </row>
    <row r="33" customFormat="false" ht="15" hidden="false" customHeight="false" outlineLevel="0" collapsed="false">
      <c r="A33" s="3" t="n">
        <v>31</v>
      </c>
      <c r="B33" s="3" t="s">
        <v>5</v>
      </c>
      <c r="C33" s="3" t="s">
        <v>33</v>
      </c>
      <c r="D33" s="3" t="s">
        <v>32</v>
      </c>
      <c r="E33" s="3" t="n">
        <v>2</v>
      </c>
      <c r="F33" s="3" t="n">
        <v>3000</v>
      </c>
      <c r="G33" s="3"/>
    </row>
    <row r="34" customFormat="false" ht="15" hidden="false" customHeight="false" outlineLevel="0" collapsed="false">
      <c r="A34" s="3" t="n">
        <v>32</v>
      </c>
      <c r="B34" s="3" t="s">
        <v>5</v>
      </c>
      <c r="C34" s="3" t="s">
        <v>39</v>
      </c>
      <c r="D34" s="3" t="s">
        <v>40</v>
      </c>
      <c r="E34" s="3" t="n">
        <v>2</v>
      </c>
      <c r="F34" s="3" t="n">
        <v>4400</v>
      </c>
      <c r="G34" s="3"/>
    </row>
    <row r="35" customFormat="false" ht="15" hidden="false" customHeight="false" outlineLevel="0" collapsed="false">
      <c r="A35" s="3" t="n">
        <v>33</v>
      </c>
      <c r="B35" s="3" t="s">
        <v>6</v>
      </c>
      <c r="C35" s="3" t="s">
        <v>39</v>
      </c>
      <c r="D35" s="3" t="s">
        <v>40</v>
      </c>
      <c r="E35" s="3" t="n">
        <v>2</v>
      </c>
      <c r="F35" s="3" t="n">
        <v>4400</v>
      </c>
      <c r="G35" s="3"/>
    </row>
    <row r="36" customFormat="false" ht="15" hidden="false" customHeight="false" outlineLevel="0" collapsed="false">
      <c r="A36" s="3" t="n">
        <v>34</v>
      </c>
      <c r="B36" s="3" t="s">
        <v>6</v>
      </c>
      <c r="C36" s="3" t="s">
        <v>33</v>
      </c>
      <c r="D36" s="3" t="s">
        <v>32</v>
      </c>
      <c r="E36" s="3" t="n">
        <v>1</v>
      </c>
      <c r="F36" s="3" t="n">
        <v>1500</v>
      </c>
      <c r="G36" s="3"/>
    </row>
    <row r="37" customFormat="false" ht="15" hidden="false" customHeight="false" outlineLevel="0" collapsed="false">
      <c r="A37" s="3" t="n">
        <v>35</v>
      </c>
      <c r="B37" s="3" t="s">
        <v>6</v>
      </c>
      <c r="C37" s="3" t="s">
        <v>33</v>
      </c>
      <c r="D37" s="3" t="s">
        <v>32</v>
      </c>
      <c r="E37" s="3" t="n">
        <v>2</v>
      </c>
      <c r="F37" s="3" t="n">
        <v>3000</v>
      </c>
      <c r="G37" s="3"/>
    </row>
    <row r="38" customFormat="false" ht="15" hidden="false" customHeight="false" outlineLevel="0" collapsed="false">
      <c r="A38" s="3" t="n">
        <v>36</v>
      </c>
      <c r="B38" s="3" t="s">
        <v>6</v>
      </c>
      <c r="C38" s="3" t="s">
        <v>41</v>
      </c>
      <c r="D38" s="3" t="s">
        <v>22</v>
      </c>
      <c r="E38" s="3" t="n">
        <v>3</v>
      </c>
      <c r="F38" s="3" t="n">
        <v>4100</v>
      </c>
      <c r="G38" s="3" t="s">
        <v>35</v>
      </c>
    </row>
    <row r="39" customFormat="false" ht="15" hidden="false" customHeight="false" outlineLevel="0" collapsed="false">
      <c r="A39" s="3" t="n">
        <v>37</v>
      </c>
      <c r="B39" s="3" t="s">
        <v>6</v>
      </c>
      <c r="C39" s="3" t="s">
        <v>33</v>
      </c>
      <c r="D39" s="3" t="s">
        <v>32</v>
      </c>
      <c r="E39" s="3" t="n">
        <v>1</v>
      </c>
      <c r="F39" s="3" t="n">
        <v>1500</v>
      </c>
      <c r="G39" s="3"/>
    </row>
    <row r="40" customFormat="false" ht="15" hidden="false" customHeight="false" outlineLevel="0" collapsed="false">
      <c r="A40" s="3" t="n">
        <v>38</v>
      </c>
      <c r="B40" s="3" t="s">
        <v>6</v>
      </c>
      <c r="C40" s="3" t="s">
        <v>33</v>
      </c>
      <c r="D40" s="3" t="s">
        <v>32</v>
      </c>
      <c r="E40" s="3" t="n">
        <v>1</v>
      </c>
      <c r="F40" s="3" t="n">
        <v>1500</v>
      </c>
      <c r="G40" s="3"/>
    </row>
    <row r="41" customFormat="false" ht="15" hidden="false" customHeight="false" outlineLevel="0" collapsed="false">
      <c r="A41" s="3" t="n">
        <v>39</v>
      </c>
      <c r="B41" s="3" t="s">
        <v>6</v>
      </c>
      <c r="C41" s="3" t="s">
        <v>33</v>
      </c>
      <c r="D41" s="3" t="s">
        <v>32</v>
      </c>
      <c r="E41" s="3" t="n">
        <v>5</v>
      </c>
      <c r="F41" s="3" t="n">
        <v>7350</v>
      </c>
      <c r="G41" s="3" t="s">
        <v>35</v>
      </c>
    </row>
    <row r="42" customFormat="false" ht="15" hidden="false" customHeight="false" outlineLevel="0" collapsed="false">
      <c r="A42" s="3" t="n">
        <v>40</v>
      </c>
      <c r="B42" s="3" t="s">
        <v>6</v>
      </c>
      <c r="C42" s="3" t="s">
        <v>39</v>
      </c>
      <c r="D42" s="3" t="s">
        <v>40</v>
      </c>
      <c r="E42" s="3" t="n">
        <v>1</v>
      </c>
      <c r="F42" s="3" t="n">
        <v>2200</v>
      </c>
      <c r="G42" s="3"/>
    </row>
    <row r="43" customFormat="false" ht="15" hidden="false" customHeight="false" outlineLevel="0" collapsed="false">
      <c r="A43" s="3" t="n">
        <v>41</v>
      </c>
      <c r="B43" s="3" t="s">
        <v>6</v>
      </c>
      <c r="C43" s="3" t="s">
        <v>33</v>
      </c>
      <c r="D43" s="3" t="s">
        <v>32</v>
      </c>
      <c r="E43" s="3" t="n">
        <v>9</v>
      </c>
      <c r="F43" s="3" t="n">
        <v>13500</v>
      </c>
      <c r="G43" s="3"/>
    </row>
    <row r="44" customFormat="false" ht="15" hidden="false" customHeight="false" outlineLevel="0" collapsed="false">
      <c r="A44" s="3" t="n">
        <v>42</v>
      </c>
      <c r="B44" s="3" t="s">
        <v>6</v>
      </c>
      <c r="C44" s="3" t="s">
        <v>39</v>
      </c>
      <c r="D44" s="3" t="s">
        <v>40</v>
      </c>
      <c r="E44" s="3" t="n">
        <v>1</v>
      </c>
      <c r="F44" s="3" t="n">
        <v>2200</v>
      </c>
      <c r="G44" s="3"/>
    </row>
    <row r="45" customFormat="false" ht="15" hidden="false" customHeight="false" outlineLevel="0" collapsed="false">
      <c r="A45" s="3" t="n">
        <v>43</v>
      </c>
      <c r="B45" s="3" t="s">
        <v>6</v>
      </c>
      <c r="C45" s="3" t="s">
        <v>33</v>
      </c>
      <c r="D45" s="3" t="s">
        <v>32</v>
      </c>
      <c r="E45" s="3" t="n">
        <v>2</v>
      </c>
      <c r="F45" s="3" t="n">
        <v>3000</v>
      </c>
      <c r="G45" s="3"/>
    </row>
    <row r="46" customFormat="false" ht="15" hidden="false" customHeight="false" outlineLevel="0" collapsed="false">
      <c r="A46" s="3" t="n">
        <v>44</v>
      </c>
      <c r="B46" s="3" t="s">
        <v>6</v>
      </c>
      <c r="C46" s="3" t="s">
        <v>41</v>
      </c>
      <c r="D46" s="3" t="s">
        <v>22</v>
      </c>
      <c r="E46" s="3" t="n">
        <v>1</v>
      </c>
      <c r="F46" s="3" t="n">
        <v>1500</v>
      </c>
      <c r="G46" s="3"/>
    </row>
    <row r="47" customFormat="false" ht="15" hidden="false" customHeight="false" outlineLevel="0" collapsed="false">
      <c r="A47" s="3" t="n">
        <v>45</v>
      </c>
      <c r="B47" s="3" t="s">
        <v>6</v>
      </c>
      <c r="C47" s="3" t="s">
        <v>33</v>
      </c>
      <c r="D47" s="3" t="s">
        <v>32</v>
      </c>
      <c r="E47" s="3" t="n">
        <v>3</v>
      </c>
      <c r="F47" s="3" t="n">
        <v>4500</v>
      </c>
      <c r="G47" s="3"/>
    </row>
    <row r="48" customFormat="false" ht="15" hidden="false" customHeight="false" outlineLevel="0" collapsed="false">
      <c r="A48" s="3" t="n">
        <v>46</v>
      </c>
      <c r="B48" s="3" t="s">
        <v>6</v>
      </c>
      <c r="C48" s="3" t="s">
        <v>33</v>
      </c>
      <c r="D48" s="3" t="s">
        <v>32</v>
      </c>
      <c r="E48" s="3" t="n">
        <v>2</v>
      </c>
      <c r="F48" s="3" t="n">
        <v>3000</v>
      </c>
      <c r="G48" s="3"/>
    </row>
    <row r="49" customFormat="false" ht="15" hidden="false" customHeight="false" outlineLevel="0" collapsed="false">
      <c r="A49" s="3" t="n">
        <v>47</v>
      </c>
      <c r="B49" s="3" t="s">
        <v>6</v>
      </c>
      <c r="C49" s="3" t="s">
        <v>41</v>
      </c>
      <c r="D49" s="3" t="s">
        <v>22</v>
      </c>
      <c r="E49" s="3" t="n">
        <v>1</v>
      </c>
      <c r="F49" s="3" t="n">
        <v>1500</v>
      </c>
      <c r="G49" s="3"/>
    </row>
    <row r="50" customFormat="false" ht="15" hidden="false" customHeight="false" outlineLevel="0" collapsed="false">
      <c r="A50" s="3" t="n">
        <v>48</v>
      </c>
      <c r="B50" s="3" t="s">
        <v>6</v>
      </c>
      <c r="C50" s="3" t="s">
        <v>37</v>
      </c>
      <c r="D50" s="3" t="s">
        <v>18</v>
      </c>
      <c r="E50" s="3" t="n">
        <v>6</v>
      </c>
      <c r="F50" s="3" t="n">
        <v>250</v>
      </c>
      <c r="G50" s="3" t="s">
        <v>38</v>
      </c>
    </row>
    <row r="51" customFormat="false" ht="15" hidden="false" customHeight="false" outlineLevel="0" collapsed="false">
      <c r="A51" s="3" t="n">
        <v>49</v>
      </c>
      <c r="B51" s="3" t="s">
        <v>6</v>
      </c>
      <c r="C51" s="3" t="s">
        <v>39</v>
      </c>
      <c r="D51" s="3" t="s">
        <v>40</v>
      </c>
      <c r="E51" s="3" t="n">
        <v>1</v>
      </c>
      <c r="F51" s="3" t="n">
        <v>2200</v>
      </c>
      <c r="G51" s="3"/>
    </row>
    <row r="52" customFormat="false" ht="15" hidden="false" customHeight="false" outlineLevel="0" collapsed="false">
      <c r="A52" s="3" t="n">
        <v>50</v>
      </c>
      <c r="B52" s="3" t="s">
        <v>6</v>
      </c>
      <c r="C52" s="3" t="s">
        <v>33</v>
      </c>
      <c r="D52" s="3" t="s">
        <v>32</v>
      </c>
      <c r="E52" s="3" t="n">
        <v>12</v>
      </c>
      <c r="F52" s="3" t="n">
        <v>18000</v>
      </c>
      <c r="G52" s="3"/>
    </row>
    <row r="53" customFormat="false" ht="15" hidden="false" customHeight="false" outlineLevel="0" collapsed="false">
      <c r="A53" s="3" t="n">
        <v>51</v>
      </c>
      <c r="B53" s="3" t="s">
        <v>6</v>
      </c>
      <c r="C53" s="3" t="s">
        <v>33</v>
      </c>
      <c r="D53" s="3" t="s">
        <v>32</v>
      </c>
      <c r="E53" s="3" t="n">
        <v>2</v>
      </c>
      <c r="F53" s="3" t="n">
        <v>3000</v>
      </c>
      <c r="G53" s="3"/>
    </row>
    <row r="54" customFormat="false" ht="15" hidden="false" customHeight="false" outlineLevel="0" collapsed="false">
      <c r="A54" s="3" t="n">
        <v>52</v>
      </c>
      <c r="B54" s="3" t="s">
        <v>6</v>
      </c>
      <c r="C54" s="3" t="s">
        <v>39</v>
      </c>
      <c r="D54" s="3" t="s">
        <v>40</v>
      </c>
      <c r="E54" s="3" t="n">
        <v>1</v>
      </c>
      <c r="F54" s="3" t="n">
        <v>2200</v>
      </c>
      <c r="G54" s="3"/>
    </row>
    <row r="55" customFormat="false" ht="15" hidden="false" customHeight="false" outlineLevel="0" collapsed="false">
      <c r="A55" s="3" t="n">
        <v>53</v>
      </c>
      <c r="B55" s="3" t="s">
        <v>6</v>
      </c>
      <c r="C55" s="3" t="s">
        <v>33</v>
      </c>
      <c r="D55" s="3" t="s">
        <v>32</v>
      </c>
      <c r="E55" s="3" t="n">
        <v>2</v>
      </c>
      <c r="F55" s="3" t="n">
        <v>3000</v>
      </c>
      <c r="G55" s="3"/>
    </row>
    <row r="56" customFormat="false" ht="15" hidden="false" customHeight="false" outlineLevel="0" collapsed="false">
      <c r="A56" s="3" t="n">
        <v>54</v>
      </c>
      <c r="B56" s="3" t="s">
        <v>6</v>
      </c>
      <c r="C56" s="3" t="s">
        <v>33</v>
      </c>
      <c r="D56" s="3" t="s">
        <v>32</v>
      </c>
      <c r="E56" s="3" t="n">
        <v>2</v>
      </c>
      <c r="F56" s="3" t="n">
        <v>3000</v>
      </c>
      <c r="G56" s="3"/>
    </row>
    <row r="57" customFormat="false" ht="15" hidden="false" customHeight="false" outlineLevel="0" collapsed="false">
      <c r="A57" s="3" t="n">
        <v>55</v>
      </c>
      <c r="B57" s="3" t="s">
        <v>6</v>
      </c>
      <c r="C57" s="3" t="s">
        <v>43</v>
      </c>
      <c r="D57" s="3" t="s">
        <v>44</v>
      </c>
      <c r="E57" s="3" t="n">
        <v>1</v>
      </c>
      <c r="F57" s="3" t="n">
        <v>3000</v>
      </c>
      <c r="G57" s="3"/>
    </row>
    <row r="58" customFormat="false" ht="15" hidden="false" customHeight="false" outlineLevel="0" collapsed="false">
      <c r="A58" s="3" t="n">
        <v>56</v>
      </c>
      <c r="B58" s="3" t="s">
        <v>6</v>
      </c>
      <c r="C58" s="3" t="s">
        <v>34</v>
      </c>
      <c r="D58" s="3" t="s">
        <v>16</v>
      </c>
      <c r="E58" s="3" t="n">
        <v>2</v>
      </c>
      <c r="F58" s="3" t="n">
        <v>1000</v>
      </c>
      <c r="G58" s="3"/>
    </row>
    <row r="59" customFormat="false" ht="15" hidden="false" customHeight="false" outlineLevel="0" collapsed="false">
      <c r="A59" s="3" t="n">
        <v>57</v>
      </c>
      <c r="B59" s="3" t="s">
        <v>6</v>
      </c>
      <c r="C59" s="3" t="s">
        <v>33</v>
      </c>
      <c r="D59" s="3" t="s">
        <v>32</v>
      </c>
      <c r="E59" s="3" t="n">
        <v>23</v>
      </c>
      <c r="F59" s="3" t="n">
        <v>34500</v>
      </c>
      <c r="G59" s="3"/>
    </row>
    <row r="60" customFormat="false" ht="15" hidden="false" customHeight="false" outlineLevel="0" collapsed="false">
      <c r="A60" s="3" t="n">
        <v>58</v>
      </c>
      <c r="B60" s="3" t="s">
        <v>6</v>
      </c>
      <c r="C60" s="3" t="s">
        <v>45</v>
      </c>
      <c r="D60" s="3" t="s">
        <v>45</v>
      </c>
      <c r="E60" s="3" t="n">
        <v>1</v>
      </c>
      <c r="F60" s="3" t="n">
        <v>1000</v>
      </c>
      <c r="G60" s="3"/>
    </row>
    <row r="61" customFormat="false" ht="15" hidden="false" customHeight="false" outlineLevel="0" collapsed="false">
      <c r="A61" s="3" t="n">
        <v>59</v>
      </c>
      <c r="B61" s="3" t="s">
        <v>6</v>
      </c>
      <c r="C61" s="3" t="s">
        <v>33</v>
      </c>
      <c r="D61" s="3" t="s">
        <v>32</v>
      </c>
      <c r="E61" s="3" t="n">
        <v>1</v>
      </c>
      <c r="F61" s="3" t="n">
        <v>1500</v>
      </c>
      <c r="G61" s="3"/>
    </row>
    <row r="62" customFormat="false" ht="15" hidden="false" customHeight="false" outlineLevel="0" collapsed="false">
      <c r="A62" s="3" t="n">
        <v>60</v>
      </c>
      <c r="B62" s="3" t="s">
        <v>6</v>
      </c>
      <c r="C62" s="3" t="s">
        <v>37</v>
      </c>
      <c r="D62" s="3" t="s">
        <v>18</v>
      </c>
      <c r="E62" s="3" t="n">
        <v>6</v>
      </c>
      <c r="F62" s="3" t="n">
        <v>250</v>
      </c>
      <c r="G62" s="3" t="s">
        <v>38</v>
      </c>
    </row>
    <row r="63" customFormat="false" ht="15" hidden="false" customHeight="false" outlineLevel="0" collapsed="false">
      <c r="A63" s="3" t="n">
        <v>61</v>
      </c>
      <c r="B63" s="3" t="s">
        <v>7</v>
      </c>
      <c r="C63" s="3" t="s">
        <v>46</v>
      </c>
      <c r="D63" s="3" t="s">
        <v>46</v>
      </c>
      <c r="E63" s="3" t="n">
        <v>3</v>
      </c>
      <c r="F63" s="3" t="n">
        <v>3000</v>
      </c>
      <c r="G63" s="3"/>
    </row>
    <row r="64" customFormat="false" ht="15" hidden="false" customHeight="false" outlineLevel="0" collapsed="false">
      <c r="A64" s="3" t="n">
        <v>62</v>
      </c>
      <c r="B64" s="3" t="s">
        <v>7</v>
      </c>
      <c r="C64" s="3" t="s">
        <v>23</v>
      </c>
      <c r="D64" s="3" t="s">
        <v>16</v>
      </c>
      <c r="E64" s="3" t="n">
        <v>1</v>
      </c>
      <c r="F64" s="3" t="n">
        <v>500</v>
      </c>
      <c r="G64" s="3"/>
    </row>
    <row r="65" customFormat="false" ht="15" hidden="false" customHeight="false" outlineLevel="0" collapsed="false">
      <c r="A65" s="3" t="n">
        <v>63</v>
      </c>
      <c r="B65" s="3" t="s">
        <v>7</v>
      </c>
      <c r="C65" s="3" t="s">
        <v>33</v>
      </c>
      <c r="D65" s="3" t="s">
        <v>32</v>
      </c>
      <c r="E65" s="3" t="n">
        <v>2</v>
      </c>
      <c r="F65" s="3" t="n">
        <v>3000</v>
      </c>
      <c r="G65" s="3"/>
    </row>
    <row r="66" customFormat="false" ht="15" hidden="false" customHeight="false" outlineLevel="0" collapsed="false">
      <c r="A66" s="3" t="n">
        <v>64</v>
      </c>
      <c r="B66" s="3" t="s">
        <v>7</v>
      </c>
      <c r="C66" s="3" t="s">
        <v>43</v>
      </c>
      <c r="D66" s="3" t="s">
        <v>44</v>
      </c>
      <c r="E66" s="3" t="n">
        <v>1</v>
      </c>
      <c r="F66" s="3" t="n">
        <v>3000</v>
      </c>
      <c r="G66" s="3"/>
    </row>
    <row r="67" customFormat="false" ht="15" hidden="false" customHeight="false" outlineLevel="0" collapsed="false">
      <c r="A67" s="3" t="n">
        <v>65</v>
      </c>
      <c r="B67" s="3" t="s">
        <v>7</v>
      </c>
      <c r="C67" s="3" t="s">
        <v>33</v>
      </c>
      <c r="D67" s="3" t="s">
        <v>32</v>
      </c>
      <c r="E67" s="3" t="n">
        <v>2</v>
      </c>
      <c r="F67" s="3" t="n">
        <v>3000</v>
      </c>
      <c r="G67" s="3"/>
    </row>
    <row r="68" customFormat="false" ht="15" hidden="false" customHeight="false" outlineLevel="0" collapsed="false">
      <c r="A68" s="3" t="n">
        <v>66</v>
      </c>
      <c r="B68" s="3" t="s">
        <v>7</v>
      </c>
      <c r="C68" s="3" t="s">
        <v>47</v>
      </c>
      <c r="D68" s="3" t="s">
        <v>48</v>
      </c>
      <c r="E68" s="3" t="n">
        <v>1</v>
      </c>
      <c r="F68" s="3" t="n">
        <v>1700</v>
      </c>
      <c r="G68" s="3"/>
    </row>
    <row r="69" customFormat="false" ht="15" hidden="false" customHeight="false" outlineLevel="0" collapsed="false">
      <c r="A69" s="3" t="n">
        <v>67</v>
      </c>
      <c r="B69" s="3" t="s">
        <v>7</v>
      </c>
      <c r="C69" s="3" t="s">
        <v>49</v>
      </c>
      <c r="D69" s="3" t="s">
        <v>32</v>
      </c>
      <c r="E69" s="3" t="n">
        <v>1</v>
      </c>
      <c r="F69" s="3" t="n">
        <v>1500</v>
      </c>
      <c r="G69" s="3"/>
    </row>
    <row r="70" customFormat="false" ht="15" hidden="false" customHeight="false" outlineLevel="0" collapsed="false">
      <c r="A70" s="3" t="n">
        <v>68</v>
      </c>
      <c r="B70" s="3" t="s">
        <v>7</v>
      </c>
      <c r="C70" s="3" t="s">
        <v>23</v>
      </c>
      <c r="D70" s="3" t="s">
        <v>16</v>
      </c>
      <c r="E70" s="3" t="n">
        <v>1</v>
      </c>
      <c r="F70" s="3" t="n">
        <v>500</v>
      </c>
      <c r="G70" s="3"/>
    </row>
    <row r="71" customFormat="false" ht="15" hidden="false" customHeight="false" outlineLevel="0" collapsed="false">
      <c r="A71" s="3" t="n">
        <v>69</v>
      </c>
      <c r="B71" s="3" t="s">
        <v>7</v>
      </c>
      <c r="C71" s="3" t="s">
        <v>37</v>
      </c>
      <c r="D71" s="3" t="s">
        <v>18</v>
      </c>
      <c r="E71" s="3" t="n">
        <v>6</v>
      </c>
      <c r="F71" s="3" t="n">
        <v>250</v>
      </c>
      <c r="G71" s="3" t="s">
        <v>38</v>
      </c>
    </row>
    <row r="72" customFormat="false" ht="15" hidden="false" customHeight="false" outlineLevel="0" collapsed="false">
      <c r="A72" s="3" t="n">
        <v>70</v>
      </c>
      <c r="B72" s="3" t="s">
        <v>7</v>
      </c>
      <c r="C72" s="3" t="s">
        <v>23</v>
      </c>
      <c r="D72" s="3" t="s">
        <v>16</v>
      </c>
      <c r="E72" s="3" t="n">
        <v>1</v>
      </c>
      <c r="F72" s="3" t="n">
        <v>500</v>
      </c>
      <c r="G72" s="3"/>
    </row>
    <row r="73" customFormat="false" ht="15" hidden="false" customHeight="false" outlineLevel="0" collapsed="false">
      <c r="A73" s="3" t="n">
        <v>71</v>
      </c>
      <c r="B73" s="3" t="s">
        <v>7</v>
      </c>
      <c r="C73" s="3" t="s">
        <v>39</v>
      </c>
      <c r="D73" s="3" t="s">
        <v>40</v>
      </c>
      <c r="E73" s="3" t="n">
        <v>1</v>
      </c>
      <c r="F73" s="3" t="n">
        <v>2200</v>
      </c>
      <c r="G73" s="3"/>
    </row>
    <row r="74" customFormat="false" ht="15" hidden="false" customHeight="false" outlineLevel="0" collapsed="false">
      <c r="A74" s="3" t="n">
        <v>72</v>
      </c>
      <c r="B74" s="3" t="s">
        <v>7</v>
      </c>
      <c r="C74" s="3" t="s">
        <v>33</v>
      </c>
      <c r="D74" s="3" t="s">
        <v>32</v>
      </c>
      <c r="E74" s="3" t="n">
        <v>1</v>
      </c>
      <c r="F74" s="3" t="n">
        <v>1500</v>
      </c>
      <c r="G74" s="3"/>
    </row>
    <row r="75" customFormat="false" ht="15" hidden="false" customHeight="false" outlineLevel="0" collapsed="false">
      <c r="A75" s="3" t="n">
        <v>73</v>
      </c>
      <c r="B75" s="3" t="s">
        <v>7</v>
      </c>
      <c r="C75" s="3" t="s">
        <v>50</v>
      </c>
      <c r="D75" s="3" t="s">
        <v>51</v>
      </c>
      <c r="E75" s="3" t="n">
        <v>1</v>
      </c>
      <c r="F75" s="3" t="n">
        <v>1500</v>
      </c>
      <c r="G75" s="3"/>
    </row>
    <row r="76" customFormat="false" ht="15" hidden="false" customHeight="false" outlineLevel="0" collapsed="false">
      <c r="A76" s="3" t="n">
        <v>74</v>
      </c>
      <c r="B76" s="3" t="s">
        <v>7</v>
      </c>
      <c r="C76" s="3" t="s">
        <v>43</v>
      </c>
      <c r="D76" s="3" t="s">
        <v>44</v>
      </c>
      <c r="E76" s="3" t="n">
        <v>1</v>
      </c>
      <c r="F76" s="3" t="n">
        <v>3000</v>
      </c>
      <c r="G76" s="3"/>
    </row>
    <row r="77" customFormat="false" ht="15" hidden="false" customHeight="false" outlineLevel="0" collapsed="false">
      <c r="A77" s="3" t="n">
        <v>75</v>
      </c>
      <c r="B77" s="3" t="s">
        <v>7</v>
      </c>
      <c r="C77" s="3" t="s">
        <v>52</v>
      </c>
      <c r="D77" s="3" t="s">
        <v>18</v>
      </c>
      <c r="E77" s="3" t="n">
        <v>2</v>
      </c>
      <c r="F77" s="3" t="n">
        <v>100</v>
      </c>
      <c r="G77" s="3"/>
    </row>
    <row r="78" customFormat="false" ht="15" hidden="false" customHeight="false" outlineLevel="0" collapsed="false">
      <c r="A78" s="3" t="n">
        <v>76</v>
      </c>
      <c r="B78" s="3" t="s">
        <v>7</v>
      </c>
      <c r="C78" s="3" t="s">
        <v>33</v>
      </c>
      <c r="D78" s="3" t="s">
        <v>32</v>
      </c>
      <c r="E78" s="3" t="n">
        <v>1</v>
      </c>
      <c r="F78" s="3" t="n">
        <v>1500</v>
      </c>
      <c r="G78" s="3"/>
    </row>
    <row r="79" customFormat="false" ht="15" hidden="false" customHeight="false" outlineLevel="0" collapsed="false">
      <c r="A79" s="3" t="n">
        <v>77</v>
      </c>
      <c r="B79" s="3" t="s">
        <v>7</v>
      </c>
      <c r="C79" s="3" t="s">
        <v>23</v>
      </c>
      <c r="D79" s="3" t="s">
        <v>16</v>
      </c>
      <c r="E79" s="3" t="n">
        <v>1</v>
      </c>
      <c r="F79" s="3" t="n">
        <v>500</v>
      </c>
      <c r="G79" s="3"/>
    </row>
    <row r="80" customFormat="false" ht="15" hidden="false" customHeight="false" outlineLevel="0" collapsed="false">
      <c r="A80" s="3" t="n">
        <v>78</v>
      </c>
      <c r="B80" s="3" t="s">
        <v>7</v>
      </c>
      <c r="C80" s="3" t="s">
        <v>53</v>
      </c>
      <c r="D80" s="3" t="s">
        <v>18</v>
      </c>
      <c r="E80" s="3" t="n">
        <v>4</v>
      </c>
      <c r="F80" s="3" t="n">
        <v>200</v>
      </c>
      <c r="G8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54</v>
      </c>
      <c r="B1" s="1" t="s">
        <v>55</v>
      </c>
      <c r="C1" s="1" t="s">
        <v>56</v>
      </c>
      <c r="D1" s="1" t="s">
        <v>57</v>
      </c>
    </row>
    <row r="2" customFormat="false" ht="15" hidden="false" customHeight="false" outlineLevel="0" collapsed="false">
      <c r="A2" s="0" t="s">
        <v>32</v>
      </c>
      <c r="B2" s="0" t="n">
        <v>765</v>
      </c>
      <c r="C2" s="0" t="n">
        <v>132</v>
      </c>
      <c r="D2" s="0" t="n">
        <f aca="false">B2-C2</f>
        <v>633</v>
      </c>
    </row>
    <row r="3" customFormat="false" ht="15" hidden="false" customHeight="false" outlineLevel="0" collapsed="false">
      <c r="A3" s="0" t="s">
        <v>18</v>
      </c>
      <c r="B3" s="0" t="n">
        <v>5</v>
      </c>
      <c r="C3" s="0" t="n">
        <v>39</v>
      </c>
      <c r="D3" s="0" t="n">
        <f aca="false">B3-C3</f>
        <v>-34</v>
      </c>
    </row>
    <row r="4" customFormat="false" ht="15" hidden="false" customHeight="false" outlineLevel="0" collapsed="false">
      <c r="A4" s="0" t="s">
        <v>16</v>
      </c>
      <c r="B4" s="0" t="n">
        <v>22</v>
      </c>
      <c r="C4" s="0" t="n">
        <v>18</v>
      </c>
      <c r="D4" s="0" t="n">
        <f aca="false">B4-C4</f>
        <v>4</v>
      </c>
    </row>
    <row r="5" customFormat="false" ht="15" hidden="false" customHeight="false" outlineLevel="0" collapsed="false">
      <c r="A5" s="0" t="s">
        <v>40</v>
      </c>
      <c r="B5" s="0" t="n">
        <v>36</v>
      </c>
      <c r="C5" s="0" t="n">
        <v>12</v>
      </c>
      <c r="D5" s="0" t="n">
        <f aca="false">B5-C5</f>
        <v>24</v>
      </c>
    </row>
    <row r="6" customFormat="false" ht="15" hidden="false" customHeight="false" outlineLevel="0" collapsed="false">
      <c r="A6" s="0" t="s">
        <v>22</v>
      </c>
      <c r="B6" s="0" t="n">
        <v>38</v>
      </c>
      <c r="C6" s="0" t="n">
        <v>10</v>
      </c>
      <c r="D6" s="0" t="n">
        <f aca="false">B6-C6</f>
        <v>28</v>
      </c>
    </row>
    <row r="7" customFormat="false" ht="15" hidden="false" customHeight="false" outlineLevel="0" collapsed="false">
      <c r="A7" s="0" t="s">
        <v>44</v>
      </c>
      <c r="B7" s="0" t="n">
        <v>3</v>
      </c>
      <c r="C7" s="0" t="n">
        <v>3</v>
      </c>
      <c r="D7" s="0" t="n">
        <f aca="false">B7-C7</f>
        <v>0</v>
      </c>
    </row>
    <row r="8" customFormat="false" ht="15" hidden="false" customHeight="false" outlineLevel="0" collapsed="false">
      <c r="A8" s="0" t="s">
        <v>46</v>
      </c>
      <c r="B8" s="0" t="n">
        <v>89</v>
      </c>
      <c r="C8" s="0" t="n">
        <v>3</v>
      </c>
      <c r="D8" s="0" t="n">
        <f aca="false">B8-C8</f>
        <v>86</v>
      </c>
    </row>
    <row r="9" customFormat="false" ht="15" hidden="false" customHeight="false" outlineLevel="0" collapsed="false">
      <c r="A9" s="0" t="s">
        <v>20</v>
      </c>
      <c r="B9" s="0" t="n">
        <v>52</v>
      </c>
      <c r="C9" s="0" t="n">
        <v>1</v>
      </c>
      <c r="D9" s="0" t="n">
        <f aca="false">B9-C9</f>
        <v>51</v>
      </c>
    </row>
    <row r="10" customFormat="false" ht="15" hidden="false" customHeight="false" outlineLevel="0" collapsed="false">
      <c r="A10" s="0" t="s">
        <v>25</v>
      </c>
      <c r="B10" s="0" t="n">
        <v>24</v>
      </c>
      <c r="C10" s="0" t="n">
        <v>1</v>
      </c>
      <c r="D10" s="0" t="n">
        <f aca="false">B10-C10</f>
        <v>23</v>
      </c>
    </row>
    <row r="11" customFormat="false" ht="15" hidden="false" customHeight="false" outlineLevel="0" collapsed="false">
      <c r="A11" s="0" t="s">
        <v>27</v>
      </c>
      <c r="B11" s="0" t="n">
        <v>3</v>
      </c>
      <c r="C11" s="0" t="n">
        <v>1</v>
      </c>
      <c r="D11" s="0" t="n">
        <f aca="false">B11-C11</f>
        <v>2</v>
      </c>
    </row>
    <row r="12" customFormat="false" ht="15" hidden="false" customHeight="false" outlineLevel="0" collapsed="false">
      <c r="A12" s="0" t="s">
        <v>28</v>
      </c>
      <c r="B12" s="0" t="n">
        <v>19</v>
      </c>
      <c r="C12" s="0" t="n">
        <v>1</v>
      </c>
      <c r="D12" s="0" t="n">
        <f aca="false">B12-C12</f>
        <v>18</v>
      </c>
    </row>
    <row r="13" customFormat="false" ht="15" hidden="false" customHeight="false" outlineLevel="0" collapsed="false">
      <c r="A13" s="0" t="s">
        <v>45</v>
      </c>
      <c r="B13" s="0" t="n">
        <v>31</v>
      </c>
      <c r="C13" s="0" t="n">
        <v>1</v>
      </c>
      <c r="D13" s="0" t="n">
        <f aca="false">B13-C13</f>
        <v>30</v>
      </c>
    </row>
    <row r="14" customFormat="false" ht="15" hidden="false" customHeight="false" outlineLevel="0" collapsed="false">
      <c r="A14" s="0" t="s">
        <v>48</v>
      </c>
      <c r="B14" s="0" t="n">
        <v>10</v>
      </c>
      <c r="C14" s="0" t="n">
        <v>1</v>
      </c>
      <c r="D14" s="0" t="n">
        <f aca="false">B14-C14</f>
        <v>9</v>
      </c>
    </row>
    <row r="15" customFormat="false" ht="15" hidden="false" customHeight="false" outlineLevel="0" collapsed="false">
      <c r="A15" s="0" t="s">
        <v>51</v>
      </c>
      <c r="B15" s="0" t="n">
        <v>4</v>
      </c>
      <c r="C15" s="0" t="n">
        <v>1</v>
      </c>
      <c r="D15" s="0" t="n">
        <f aca="false">B15-C15</f>
        <v>3</v>
      </c>
    </row>
    <row r="17" customFormat="false" ht="15" hidden="false" customHeight="false" outlineLevel="0" collapsed="false">
      <c r="A17" s="4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2026-09-27T11:08:01Z</dcterms:created>
  <dc:creator>openpyxl</dc:creator>
  <dc:description/>
  <dc:language>en-US</dc:language>
  <cp:lastModifiedBy/>
  <dcterms:modified xsi:type="dcterms:W3CDTF">2026-09-27T11:08:01Z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